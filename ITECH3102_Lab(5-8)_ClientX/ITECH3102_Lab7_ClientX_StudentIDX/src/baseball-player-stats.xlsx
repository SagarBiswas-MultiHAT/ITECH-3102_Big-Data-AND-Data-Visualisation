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2995" windowHeight="9975" activeTab="3"/>
  </bookViews>
  <sheets>
    <sheet name="2012 Team Player Stats" sheetId="1" r:id="rId1"/>
    <sheet name="Additional Player Info" sheetId="9" r:id="rId2"/>
    <sheet name="HR YOY" sheetId="3" r:id="rId3"/>
    <sheet name="AL Team Homeruns" sheetId="4" r:id="rId4"/>
    <sheet name="Players" sheetId="5" r:id="rId5"/>
  </sheets>
  <definedNames>
    <definedName name="_xlnm._FilterDatabase" localSheetId="0" hidden="1">'2012 Team Player Stats'!$A$1:$AD$46</definedName>
    <definedName name="_xlnm._FilterDatabase" localSheetId="2" hidden="1">'HR YOY'!$A$1:$D$31</definedName>
    <definedName name="_xlnm._FilterDatabase" localSheetId="4" hidden="1">Players!$A$1:$L$46</definedName>
  </definedNames>
  <calcPr calcId="145621"/>
</workbook>
</file>

<file path=xl/calcChain.xml><?xml version="1.0" encoding="utf-8"?>
<calcChain xmlns="http://schemas.openxmlformats.org/spreadsheetml/2006/main">
  <c r="G46" i="9" l="1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G36" i="9"/>
  <c r="D36" i="9"/>
  <c r="G35" i="9"/>
  <c r="D35" i="9"/>
  <c r="G34" i="9"/>
  <c r="D34" i="9"/>
  <c r="G33" i="9"/>
  <c r="D33" i="9"/>
  <c r="G32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D25" i="9"/>
  <c r="G24" i="9"/>
  <c r="D24" i="9"/>
  <c r="G23" i="9"/>
  <c r="D23" i="9"/>
  <c r="G22" i="9"/>
  <c r="D22" i="9"/>
  <c r="G21" i="9"/>
  <c r="D21" i="9"/>
  <c r="G20" i="9"/>
  <c r="D20" i="9"/>
  <c r="G19" i="9"/>
  <c r="D19" i="9"/>
  <c r="G18" i="9"/>
  <c r="D18" i="9"/>
  <c r="G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D8" i="9"/>
  <c r="G7" i="9"/>
  <c r="D7" i="9"/>
  <c r="G6" i="9"/>
  <c r="D6" i="9"/>
  <c r="G5" i="9"/>
  <c r="D5" i="9"/>
  <c r="G4" i="9"/>
  <c r="D4" i="9"/>
  <c r="G3" i="9"/>
  <c r="D3" i="9"/>
  <c r="G2" i="9"/>
  <c r="D2" i="9"/>
  <c r="D36" i="1"/>
  <c r="D43" i="1"/>
  <c r="D22" i="1"/>
  <c r="D3" i="1"/>
  <c r="D42" i="1"/>
  <c r="D16" i="1"/>
  <c r="D38" i="1"/>
  <c r="D26" i="1"/>
  <c r="D4" i="1"/>
  <c r="D30" i="1"/>
  <c r="D32" i="1"/>
  <c r="D12" i="1"/>
  <c r="D25" i="1"/>
  <c r="D24" i="1"/>
  <c r="D8" i="1"/>
  <c r="D7" i="1"/>
  <c r="D46" i="1"/>
  <c r="D11" i="1"/>
  <c r="D41" i="1"/>
  <c r="D18" i="1"/>
  <c r="D37" i="1"/>
  <c r="D27" i="1"/>
  <c r="D31" i="1"/>
  <c r="D5" i="1"/>
  <c r="D9" i="1"/>
  <c r="D39" i="1"/>
  <c r="D29" i="1"/>
  <c r="D28" i="1"/>
  <c r="D19" i="1"/>
  <c r="D13" i="1"/>
  <c r="D33" i="1"/>
  <c r="D6" i="1"/>
  <c r="D17" i="1"/>
  <c r="D10" i="1"/>
  <c r="D23" i="1"/>
  <c r="D20" i="1"/>
  <c r="D34" i="1"/>
  <c r="D45" i="1"/>
  <c r="D35" i="1"/>
  <c r="D14" i="1"/>
  <c r="D15" i="1"/>
  <c r="D40" i="1"/>
  <c r="D21" i="1"/>
  <c r="D2" i="1"/>
  <c r="D44" i="1"/>
</calcChain>
</file>

<file path=xl/sharedStrings.xml><?xml version="1.0" encoding="utf-8"?>
<sst xmlns="http://schemas.openxmlformats.org/spreadsheetml/2006/main" count="517" uniqueCount="150">
  <si>
    <t>Rk</t>
  </si>
  <si>
    <t>Pos</t>
  </si>
  <si>
    <t>Age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</si>
  <si>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</si>
  <si>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</si>
  <si>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</si>
  <si>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</si>
  <si>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</si>
  <si>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</si>
  <si>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</si>
  <si>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</si>
  <si>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</si>
  <si>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</si>
  <si>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</si>
  <si>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</si>
  <si>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</si>
  <si>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</si>
  <si>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</si>
  <si>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</si>
  <si>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</si>
  <si>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</si>
  <si>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</si>
  <si>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GDP</t>
  </si>
  <si>
    <t>HBP</t>
  </si>
  <si>
    <t>SH</t>
  </si>
  <si>
    <t>SF</t>
  </si>
  <si>
    <t>IBB</t>
  </si>
  <si>
    <t>C</t>
  </si>
  <si>
    <t>Russell Martin</t>
  </si>
  <si>
    <t>1B</t>
  </si>
  <si>
    <t>SS</t>
  </si>
  <si>
    <t>Derek Jeter</t>
  </si>
  <si>
    <t>Alex Rodriguez</t>
  </si>
  <si>
    <t>LF</t>
  </si>
  <si>
    <t>CF</t>
  </si>
  <si>
    <t>RF</t>
  </si>
  <si>
    <t>DH</t>
  </si>
  <si>
    <t>UT</t>
  </si>
  <si>
    <t>Andruw Jones</t>
  </si>
  <si>
    <t>OF</t>
  </si>
  <si>
    <t>Jayson Nix</t>
  </si>
  <si>
    <t>Chris Stewart</t>
  </si>
  <si>
    <t>Eduardo Nunez</t>
  </si>
  <si>
    <t>Casey McGehee</t>
  </si>
  <si>
    <t>Steve Pearce</t>
  </si>
  <si>
    <t>Darnell McDonald</t>
  </si>
  <si>
    <t>Melky Mesa</t>
  </si>
  <si>
    <t>Francisco Cervelli</t>
  </si>
  <si>
    <t>P</t>
  </si>
  <si>
    <t>Ivan Nova</t>
  </si>
  <si>
    <t>Phil Hughes</t>
  </si>
  <si>
    <t>Hiroki Kuroda</t>
  </si>
  <si>
    <t>Freddy Garcia</t>
  </si>
  <si>
    <t>David Aardsma</t>
  </si>
  <si>
    <t>Clay Rapada</t>
  </si>
  <si>
    <t>Joba Chamberlain</t>
  </si>
  <si>
    <t>Boone Logan</t>
  </si>
  <si>
    <t>D.J. Mitchell</t>
  </si>
  <si>
    <t>Chad Qualls</t>
  </si>
  <si>
    <t>Derek Lowe</t>
  </si>
  <si>
    <t>David Phelps</t>
  </si>
  <si>
    <t>Ryota Igarashi</t>
  </si>
  <si>
    <t>Mariano Rivera</t>
  </si>
  <si>
    <t>Cody Eppley</t>
  </si>
  <si>
    <t>Cory Wade</t>
  </si>
  <si>
    <t>Rafael Soriano</t>
  </si>
  <si>
    <t>David Robertson</t>
  </si>
  <si>
    <t>Adam Warren</t>
  </si>
  <si>
    <t>Name</t>
  </si>
  <si>
    <t>Mark Teixeira</t>
  </si>
  <si>
    <t>Robinson Cano</t>
  </si>
  <si>
    <t>Raul Ibanez</t>
  </si>
  <si>
    <t>Curtis Granderson</t>
  </si>
  <si>
    <t>Nick Swisher</t>
  </si>
  <si>
    <t>Eric Chavez</t>
  </si>
  <si>
    <t>Ichiro Suzuki</t>
  </si>
  <si>
    <t>Dewayne Wise</t>
  </si>
  <si>
    <t>Brett Gardner</t>
  </si>
  <si>
    <t>Chris Dickerson</t>
  </si>
  <si>
    <t>Ramiro Pena</t>
  </si>
  <si>
    <t>Andy Pettitte</t>
  </si>
  <si>
    <t>CC Sabathia</t>
  </si>
  <si>
    <t>Justin Thomas</t>
  </si>
  <si>
    <t>2011 HR</t>
  </si>
  <si>
    <t>Tm</t>
  </si>
  <si>
    <t>ARI</t>
  </si>
  <si>
    <t>ATL</t>
  </si>
  <si>
    <t>BAL</t>
  </si>
  <si>
    <t>BOS</t>
  </si>
  <si>
    <t>CHC</t>
  </si>
  <si>
    <t>CHW</t>
  </si>
  <si>
    <t>CIN</t>
  </si>
  <si>
    <t>CLE</t>
  </si>
  <si>
    <t>COL</t>
  </si>
  <si>
    <t>DET</t>
  </si>
  <si>
    <t>HOU</t>
  </si>
  <si>
    <t>KCR</t>
  </si>
  <si>
    <t>LAA</t>
  </si>
  <si>
    <t>LAD</t>
  </si>
  <si>
    <t>MIA</t>
  </si>
  <si>
    <t>MIL</t>
  </si>
  <si>
    <t>MIN</t>
  </si>
  <si>
    <t>NYM</t>
  </si>
  <si>
    <t>NYY</t>
  </si>
  <si>
    <t>OAK</t>
  </si>
  <si>
    <t>PHI</t>
  </si>
  <si>
    <t>PIT</t>
  </si>
  <si>
    <t>SDP</t>
  </si>
  <si>
    <t>SEA</t>
  </si>
  <si>
    <t>SFG</t>
  </si>
  <si>
    <t>STL</t>
  </si>
  <si>
    <t>TBR</t>
  </si>
  <si>
    <t>TEX</t>
  </si>
  <si>
    <t>TOR</t>
  </si>
  <si>
    <t>WSN</t>
  </si>
  <si>
    <t>2012 HR</t>
  </si>
  <si>
    <t>League</t>
  </si>
  <si>
    <t>NL</t>
  </si>
  <si>
    <t>AL</t>
  </si>
  <si>
    <t>#</t>
  </si>
  <si>
    <t>Height</t>
  </si>
  <si>
    <t>Weight</t>
  </si>
  <si>
    <t>Throws</t>
  </si>
  <si>
    <t>Bats</t>
  </si>
  <si>
    <t>Date Of Birth</t>
  </si>
  <si>
    <t>Right</t>
  </si>
  <si>
    <t>Left</t>
  </si>
  <si>
    <t>Both</t>
  </si>
  <si>
    <t>Pitcher</t>
  </si>
  <si>
    <t>Catcher</t>
  </si>
  <si>
    <t>Infielder</t>
  </si>
  <si>
    <t>Outfielder</t>
  </si>
  <si>
    <t>Type</t>
  </si>
  <si>
    <t>Salary</t>
  </si>
  <si>
    <t>Height (in)</t>
  </si>
  <si>
    <t>City</t>
  </si>
  <si>
    <t>Baltimore</t>
  </si>
  <si>
    <t>Boston</t>
  </si>
  <si>
    <t>Chicago</t>
  </si>
  <si>
    <t>Cleveland</t>
  </si>
  <si>
    <t>Detroit</t>
  </si>
  <si>
    <t>Kansas City</t>
  </si>
  <si>
    <t>Los Angeles</t>
  </si>
  <si>
    <t>Minnesota</t>
  </si>
  <si>
    <t>New York</t>
  </si>
  <si>
    <t>Oakland</t>
  </si>
  <si>
    <t>Seattle</t>
  </si>
  <si>
    <t>Tampa Bay</t>
  </si>
  <si>
    <t>Texas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</si>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</sst>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"/>
  <sheetViews>
    <sheetView workbookViewId="0">
      <selection activeCell="E7" sqref="E7"/>
    </sheetView>
  </sheetViews>
  <sheetFormatPr defaultRowHeight="15" x14ac:dyDescent="0.25"/>
  <cols>
    <col min="3" max="3" width="19.7109375" customWidth="1"/>
    <col min="4" max="4" width="10.28515625" customWidth="1"/>
    <col min="5" max="29" width="9.140625" customWidth="1"/>
  </cols>
  <sheetData>
    <row r="1" spans="1:29" x14ac:dyDescent="0.25">
      <c r="A1" s="1" t="s">
        <v>0</v>
      </c>
      <c r="B1" t="s">
        <v>1</v>
      </c>
      <c r="C1" t="s">
        <v>68</v>
      </c>
      <c r="D1" t="s">
        <v>132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 x14ac:dyDescent="0.25">
      <c r="A2" s="1">
        <v>45</v>
      </c>
      <c r="B2" t="s">
        <v>48</v>
      </c>
      <c r="C2" t="s">
        <v>67</v>
      </c>
      <c r="D2" t="str">
        <f>VLOOKUP(C2,Players!B:H,7,FALSE)</f>
        <v>Pitcher</v>
      </c>
      <c r="E2">
        <v>24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 s="1">
        <v>5</v>
      </c>
      <c r="B3" t="s">
        <v>9</v>
      </c>
      <c r="C3" t="s">
        <v>32</v>
      </c>
      <c r="D3" t="str">
        <f>VLOOKUP(C3,Players!B:H,7,FALSE)</f>
        <v>Infielder</v>
      </c>
      <c r="E3">
        <v>36</v>
      </c>
      <c r="F3">
        <v>122</v>
      </c>
      <c r="G3">
        <v>529</v>
      </c>
      <c r="H3">
        <v>463</v>
      </c>
      <c r="I3">
        <v>74</v>
      </c>
      <c r="J3">
        <v>126</v>
      </c>
      <c r="K3">
        <v>17</v>
      </c>
      <c r="L3">
        <v>1</v>
      </c>
      <c r="M3">
        <v>18</v>
      </c>
      <c r="N3">
        <v>57</v>
      </c>
      <c r="O3">
        <v>13</v>
      </c>
      <c r="P3">
        <v>1</v>
      </c>
      <c r="Q3">
        <v>51</v>
      </c>
      <c r="R3">
        <v>116</v>
      </c>
      <c r="S3">
        <v>0.27200000000000002</v>
      </c>
      <c r="T3">
        <v>0.35299999999999998</v>
      </c>
      <c r="U3">
        <v>0.43</v>
      </c>
      <c r="V3">
        <v>0.78300000000000003</v>
      </c>
      <c r="W3">
        <v>113</v>
      </c>
      <c r="X3">
        <v>199</v>
      </c>
      <c r="Y3">
        <v>13</v>
      </c>
      <c r="Z3">
        <v>10</v>
      </c>
      <c r="AA3">
        <v>0</v>
      </c>
      <c r="AB3">
        <v>5</v>
      </c>
      <c r="AC3">
        <v>3</v>
      </c>
    </row>
    <row r="4" spans="1:29" x14ac:dyDescent="0.25">
      <c r="A4" s="1">
        <v>10</v>
      </c>
      <c r="B4" t="s">
        <v>37</v>
      </c>
      <c r="C4" t="s">
        <v>38</v>
      </c>
      <c r="D4" t="str">
        <f>VLOOKUP(C4,Players!B:H,7,FALSE)</f>
        <v>Outfielder</v>
      </c>
      <c r="E4">
        <v>35</v>
      </c>
      <c r="F4">
        <v>94</v>
      </c>
      <c r="G4">
        <v>269</v>
      </c>
      <c r="H4">
        <v>233</v>
      </c>
      <c r="I4">
        <v>27</v>
      </c>
      <c r="J4">
        <v>46</v>
      </c>
      <c r="K4">
        <v>7</v>
      </c>
      <c r="L4">
        <v>0</v>
      </c>
      <c r="M4">
        <v>14</v>
      </c>
      <c r="N4">
        <v>34</v>
      </c>
      <c r="O4">
        <v>0</v>
      </c>
      <c r="P4">
        <v>0</v>
      </c>
      <c r="Q4">
        <v>28</v>
      </c>
      <c r="R4">
        <v>71</v>
      </c>
      <c r="S4">
        <v>0.19700000000000001</v>
      </c>
      <c r="T4">
        <v>0.29399999999999998</v>
      </c>
      <c r="U4">
        <v>0.40799999999999997</v>
      </c>
      <c r="V4">
        <v>0.70099999999999996</v>
      </c>
      <c r="W4">
        <v>89</v>
      </c>
      <c r="X4">
        <v>95</v>
      </c>
      <c r="Y4">
        <v>2</v>
      </c>
      <c r="Z4">
        <v>5</v>
      </c>
      <c r="AA4">
        <v>0</v>
      </c>
      <c r="AB4">
        <v>3</v>
      </c>
      <c r="AC4">
        <v>1</v>
      </c>
    </row>
    <row r="5" spans="1:29" x14ac:dyDescent="0.25">
      <c r="A5" s="1">
        <v>25</v>
      </c>
      <c r="B5" t="s">
        <v>48</v>
      </c>
      <c r="C5" t="s">
        <v>80</v>
      </c>
      <c r="D5" t="str">
        <f>VLOOKUP(C5,Players!B:H,7,FALSE)</f>
        <v>Pitcher</v>
      </c>
      <c r="E5">
        <v>40</v>
      </c>
      <c r="F5">
        <v>12</v>
      </c>
      <c r="G5">
        <v>5</v>
      </c>
      <c r="H5">
        <v>4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0.25</v>
      </c>
      <c r="T5">
        <v>0.25</v>
      </c>
      <c r="U5">
        <v>0.25</v>
      </c>
      <c r="V5">
        <v>0.5</v>
      </c>
      <c r="W5">
        <v>38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</row>
    <row r="6" spans="1:29" x14ac:dyDescent="0.25">
      <c r="A6" s="1">
        <v>33</v>
      </c>
      <c r="B6" t="s">
        <v>48</v>
      </c>
      <c r="C6" t="s">
        <v>56</v>
      </c>
      <c r="D6" t="str">
        <f>VLOOKUP(C6,Players!B:H,7,FALSE)</f>
        <v>Pitcher</v>
      </c>
      <c r="E6">
        <v>27</v>
      </c>
      <c r="F6">
        <v>80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5">
      <c r="A7" s="1">
        <v>17</v>
      </c>
      <c r="B7" t="s">
        <v>33</v>
      </c>
      <c r="C7" t="s">
        <v>77</v>
      </c>
      <c r="D7" t="str">
        <f>VLOOKUP(C7,Players!B:H,7,FALSE)</f>
        <v>Outfielder</v>
      </c>
      <c r="E7">
        <v>28</v>
      </c>
      <c r="F7">
        <v>16</v>
      </c>
      <c r="G7">
        <v>37</v>
      </c>
      <c r="H7">
        <v>31</v>
      </c>
      <c r="I7">
        <v>7</v>
      </c>
      <c r="J7">
        <v>10</v>
      </c>
      <c r="K7">
        <v>2</v>
      </c>
      <c r="L7">
        <v>0</v>
      </c>
      <c r="M7">
        <v>0</v>
      </c>
      <c r="N7">
        <v>3</v>
      </c>
      <c r="O7">
        <v>2</v>
      </c>
      <c r="P7">
        <v>2</v>
      </c>
      <c r="Q7">
        <v>5</v>
      </c>
      <c r="R7">
        <v>7</v>
      </c>
      <c r="S7">
        <v>0.32300000000000001</v>
      </c>
      <c r="T7">
        <v>0.41699999999999998</v>
      </c>
      <c r="U7">
        <v>0.38700000000000001</v>
      </c>
      <c r="V7">
        <v>0.80400000000000005</v>
      </c>
      <c r="W7">
        <v>122</v>
      </c>
      <c r="X7">
        <v>12</v>
      </c>
      <c r="Y7">
        <v>0</v>
      </c>
      <c r="Z7">
        <v>0</v>
      </c>
      <c r="AA7">
        <v>1</v>
      </c>
      <c r="AB7">
        <v>0</v>
      </c>
      <c r="AC7">
        <v>0</v>
      </c>
    </row>
    <row r="8" spans="1:29" x14ac:dyDescent="0.25">
      <c r="A8" s="1">
        <v>16</v>
      </c>
      <c r="B8" t="s">
        <v>37</v>
      </c>
      <c r="C8" t="s">
        <v>43</v>
      </c>
      <c r="D8" t="str">
        <f>VLOOKUP(C8,Players!B:H,7,FALSE)</f>
        <v>Infielder</v>
      </c>
      <c r="E8">
        <v>29</v>
      </c>
      <c r="F8">
        <v>22</v>
      </c>
      <c r="G8">
        <v>59</v>
      </c>
      <c r="H8">
        <v>53</v>
      </c>
      <c r="I8">
        <v>9</v>
      </c>
      <c r="J8">
        <v>8</v>
      </c>
      <c r="K8">
        <v>3</v>
      </c>
      <c r="L8">
        <v>0</v>
      </c>
      <c r="M8">
        <v>1</v>
      </c>
      <c r="N8">
        <v>6</v>
      </c>
      <c r="O8">
        <v>0</v>
      </c>
      <c r="P8">
        <v>0</v>
      </c>
      <c r="Q8">
        <v>5</v>
      </c>
      <c r="R8">
        <v>10</v>
      </c>
      <c r="S8">
        <v>0.151</v>
      </c>
      <c r="T8">
        <v>0.22</v>
      </c>
      <c r="U8">
        <v>0.26400000000000001</v>
      </c>
      <c r="V8">
        <v>0.48399999999999999</v>
      </c>
      <c r="W8">
        <v>32</v>
      </c>
      <c r="X8">
        <v>14</v>
      </c>
      <c r="Y8">
        <v>3</v>
      </c>
      <c r="Z8">
        <v>0</v>
      </c>
      <c r="AA8">
        <v>0</v>
      </c>
      <c r="AB8">
        <v>1</v>
      </c>
      <c r="AC8">
        <v>0</v>
      </c>
    </row>
    <row r="9" spans="1:29" x14ac:dyDescent="0.25">
      <c r="A9" s="1">
        <v>26</v>
      </c>
      <c r="B9" t="s">
        <v>48</v>
      </c>
      <c r="C9" t="s">
        <v>81</v>
      </c>
      <c r="D9" t="str">
        <f>VLOOKUP(C9,Players!B:H,7,FALSE)</f>
        <v>Pitcher</v>
      </c>
      <c r="E9">
        <v>31</v>
      </c>
      <c r="F9">
        <v>28</v>
      </c>
      <c r="G9">
        <v>5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-100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s="1">
        <v>35</v>
      </c>
      <c r="B10" t="s">
        <v>48</v>
      </c>
      <c r="C10" t="s">
        <v>58</v>
      </c>
      <c r="D10" t="str">
        <f>VLOOKUP(C10,Players!B:H,7,FALSE)</f>
        <v>Pitcher</v>
      </c>
      <c r="E10">
        <v>33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s="1">
        <v>19</v>
      </c>
      <c r="B11" t="s">
        <v>39</v>
      </c>
      <c r="C11" t="s">
        <v>78</v>
      </c>
      <c r="D11" t="str">
        <f>VLOOKUP(C11,Players!B:H,7,FALSE)</f>
        <v>Outfielder</v>
      </c>
      <c r="E11">
        <v>30</v>
      </c>
      <c r="F11">
        <v>25</v>
      </c>
      <c r="G11">
        <v>17</v>
      </c>
      <c r="H11">
        <v>14</v>
      </c>
      <c r="I11">
        <v>5</v>
      </c>
      <c r="J11">
        <v>4</v>
      </c>
      <c r="K11">
        <v>0</v>
      </c>
      <c r="L11">
        <v>0</v>
      </c>
      <c r="M11">
        <v>2</v>
      </c>
      <c r="N11">
        <v>5</v>
      </c>
      <c r="O11">
        <v>3</v>
      </c>
      <c r="P11">
        <v>0</v>
      </c>
      <c r="Q11">
        <v>3</v>
      </c>
      <c r="R11">
        <v>5</v>
      </c>
      <c r="S11">
        <v>0.28599999999999998</v>
      </c>
      <c r="T11">
        <v>0.41199999999999998</v>
      </c>
      <c r="U11">
        <v>0.71399999999999997</v>
      </c>
      <c r="V11">
        <v>1.1259999999999999</v>
      </c>
      <c r="W11">
        <v>199</v>
      </c>
      <c r="X11">
        <v>10</v>
      </c>
      <c r="Y11">
        <v>1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s="1">
        <v>13</v>
      </c>
      <c r="B12" t="s">
        <v>27</v>
      </c>
      <c r="C12" t="s">
        <v>41</v>
      </c>
      <c r="D12" t="str">
        <f>VLOOKUP(C12,Players!B:H,7,FALSE)</f>
        <v>Catcher</v>
      </c>
      <c r="E12">
        <v>30</v>
      </c>
      <c r="F12">
        <v>55</v>
      </c>
      <c r="G12">
        <v>157</v>
      </c>
      <c r="H12">
        <v>141</v>
      </c>
      <c r="I12">
        <v>15</v>
      </c>
      <c r="J12">
        <v>34</v>
      </c>
      <c r="K12">
        <v>8</v>
      </c>
      <c r="L12">
        <v>0</v>
      </c>
      <c r="M12">
        <v>1</v>
      </c>
      <c r="N12">
        <v>13</v>
      </c>
      <c r="O12">
        <v>2</v>
      </c>
      <c r="P12">
        <v>0</v>
      </c>
      <c r="Q12">
        <v>10</v>
      </c>
      <c r="R12">
        <v>21</v>
      </c>
      <c r="S12">
        <v>0.24099999999999999</v>
      </c>
      <c r="T12">
        <v>0.29199999999999998</v>
      </c>
      <c r="U12">
        <v>0.31900000000000001</v>
      </c>
      <c r="V12">
        <v>0.61099999999999999</v>
      </c>
      <c r="W12">
        <v>67</v>
      </c>
      <c r="X12">
        <v>45</v>
      </c>
      <c r="Y12">
        <v>1</v>
      </c>
      <c r="Z12">
        <v>1</v>
      </c>
      <c r="AA12">
        <v>3</v>
      </c>
      <c r="AB12">
        <v>2</v>
      </c>
      <c r="AC12">
        <v>0</v>
      </c>
    </row>
    <row r="13" spans="1:29" x14ac:dyDescent="0.25">
      <c r="A13" s="1">
        <v>31</v>
      </c>
      <c r="B13" t="s">
        <v>48</v>
      </c>
      <c r="C13" t="s">
        <v>54</v>
      </c>
      <c r="D13" t="str">
        <f>VLOOKUP(C13,Players!B:H,7,FALSE)</f>
        <v>Pitcher</v>
      </c>
      <c r="E13">
        <v>31</v>
      </c>
      <c r="F13">
        <v>70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s="1">
        <v>41</v>
      </c>
      <c r="B14" t="s">
        <v>48</v>
      </c>
      <c r="C14" t="s">
        <v>63</v>
      </c>
      <c r="D14" t="str">
        <f>VLOOKUP(C14,Players!B:H,7,FALSE)</f>
        <v>Pitcher</v>
      </c>
      <c r="E14">
        <v>26</v>
      </c>
      <c r="F14">
        <v>59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s="1">
        <v>42</v>
      </c>
      <c r="B15" t="s">
        <v>48</v>
      </c>
      <c r="C15" t="s">
        <v>64</v>
      </c>
      <c r="D15" t="str">
        <f>VLOOKUP(C15,Players!B:H,7,FALSE)</f>
        <v>Pitcher</v>
      </c>
      <c r="E15">
        <v>29</v>
      </c>
      <c r="F15">
        <v>39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s="1">
        <v>7</v>
      </c>
      <c r="B16" t="s">
        <v>34</v>
      </c>
      <c r="C16" t="s">
        <v>72</v>
      </c>
      <c r="D16" t="str">
        <f>VLOOKUP(C16,Players!B:H,7,FALSE)</f>
        <v>Outfielder</v>
      </c>
      <c r="E16">
        <v>31</v>
      </c>
      <c r="F16">
        <v>160</v>
      </c>
      <c r="G16">
        <v>684</v>
      </c>
      <c r="H16">
        <v>596</v>
      </c>
      <c r="I16">
        <v>102</v>
      </c>
      <c r="J16">
        <v>138</v>
      </c>
      <c r="K16">
        <v>18</v>
      </c>
      <c r="L16">
        <v>4</v>
      </c>
      <c r="M16">
        <v>43</v>
      </c>
      <c r="N16">
        <v>106</v>
      </c>
      <c r="O16">
        <v>10</v>
      </c>
      <c r="P16">
        <v>3</v>
      </c>
      <c r="Q16">
        <v>75</v>
      </c>
      <c r="R16">
        <v>195</v>
      </c>
      <c r="S16">
        <v>0.23200000000000001</v>
      </c>
      <c r="T16">
        <v>0.31900000000000001</v>
      </c>
      <c r="U16">
        <v>0.49199999999999999</v>
      </c>
      <c r="V16">
        <v>0.81100000000000005</v>
      </c>
      <c r="W16">
        <v>117</v>
      </c>
      <c r="X16">
        <v>293</v>
      </c>
      <c r="Y16">
        <v>5</v>
      </c>
      <c r="Z16">
        <v>5</v>
      </c>
      <c r="AA16">
        <v>1</v>
      </c>
      <c r="AB16">
        <v>7</v>
      </c>
      <c r="AC16">
        <v>4</v>
      </c>
    </row>
    <row r="17" spans="1:29" x14ac:dyDescent="0.25">
      <c r="A17" s="1">
        <v>34</v>
      </c>
      <c r="B17" t="s">
        <v>48</v>
      </c>
      <c r="C17" t="s">
        <v>57</v>
      </c>
      <c r="D17" t="str">
        <f>VLOOKUP(C17,Players!B:H,7,FALSE)</f>
        <v>Pitcher</v>
      </c>
      <c r="E17">
        <v>25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 s="1">
        <v>21</v>
      </c>
      <c r="B18" t="s">
        <v>39</v>
      </c>
      <c r="C18" t="s">
        <v>45</v>
      </c>
      <c r="D18" t="str">
        <f>VLOOKUP(C18,Players!B:H,7,FALSE)</f>
        <v>Outfielder</v>
      </c>
      <c r="E18">
        <v>33</v>
      </c>
      <c r="F18">
        <v>4</v>
      </c>
      <c r="G18">
        <v>4</v>
      </c>
      <c r="H18">
        <v>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0</v>
      </c>
      <c r="T18">
        <v>0</v>
      </c>
      <c r="U18">
        <v>0</v>
      </c>
      <c r="V18">
        <v>0</v>
      </c>
      <c r="W18">
        <v>-100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 s="1">
        <v>30</v>
      </c>
      <c r="B19" t="s">
        <v>48</v>
      </c>
      <c r="C19" t="s">
        <v>53</v>
      </c>
      <c r="D19" t="str">
        <f>VLOOKUP(C19,Players!B:H,7,FALSE)</f>
        <v>Pitcher</v>
      </c>
      <c r="E19">
        <v>30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 s="1">
        <v>37</v>
      </c>
      <c r="B20" t="s">
        <v>48</v>
      </c>
      <c r="C20" t="s">
        <v>60</v>
      </c>
      <c r="D20" t="str">
        <f>VLOOKUP(C20,Players!B:H,7,FALSE)</f>
        <v>Pitcher</v>
      </c>
      <c r="E20">
        <v>25</v>
      </c>
      <c r="F20">
        <v>33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 s="1">
        <v>44</v>
      </c>
      <c r="B21" t="s">
        <v>48</v>
      </c>
      <c r="C21" t="s">
        <v>66</v>
      </c>
      <c r="D21" t="str">
        <f>VLOOKUP(C21,Players!B:H,7,FALSE)</f>
        <v>Pitcher</v>
      </c>
      <c r="E21">
        <v>27</v>
      </c>
      <c r="F21">
        <v>65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 s="1">
        <v>4</v>
      </c>
      <c r="B22" t="s">
        <v>30</v>
      </c>
      <c r="C22" t="s">
        <v>31</v>
      </c>
      <c r="D22" t="str">
        <f>VLOOKUP(C22,Players!B:H,7,FALSE)</f>
        <v>Infielder</v>
      </c>
      <c r="E22">
        <v>38</v>
      </c>
      <c r="F22">
        <v>159</v>
      </c>
      <c r="G22">
        <v>740</v>
      </c>
      <c r="H22">
        <v>683</v>
      </c>
      <c r="I22">
        <v>99</v>
      </c>
      <c r="J22">
        <v>216</v>
      </c>
      <c r="K22">
        <v>32</v>
      </c>
      <c r="L22">
        <v>0</v>
      </c>
      <c r="M22">
        <v>15</v>
      </c>
      <c r="N22">
        <v>58</v>
      </c>
      <c r="O22">
        <v>9</v>
      </c>
      <c r="P22">
        <v>4</v>
      </c>
      <c r="Q22">
        <v>45</v>
      </c>
      <c r="R22">
        <v>90</v>
      </c>
      <c r="S22">
        <v>0.316</v>
      </c>
      <c r="T22">
        <v>0.36199999999999999</v>
      </c>
      <c r="U22">
        <v>0.42899999999999999</v>
      </c>
      <c r="V22">
        <v>0.79100000000000004</v>
      </c>
      <c r="W22">
        <v>115</v>
      </c>
      <c r="X22">
        <v>293</v>
      </c>
      <c r="Y22">
        <v>24</v>
      </c>
      <c r="Z22">
        <v>5</v>
      </c>
      <c r="AA22">
        <v>6</v>
      </c>
      <c r="AB22">
        <v>1</v>
      </c>
      <c r="AC22">
        <v>1</v>
      </c>
    </row>
    <row r="23" spans="1:29" x14ac:dyDescent="0.25">
      <c r="A23" s="1">
        <v>36</v>
      </c>
      <c r="B23" t="s">
        <v>48</v>
      </c>
      <c r="C23" t="s">
        <v>59</v>
      </c>
      <c r="D23" t="str">
        <f>VLOOKUP(C23,Players!B:H,7,FALSE)</f>
        <v>Pitcher</v>
      </c>
      <c r="E23">
        <v>39</v>
      </c>
      <c r="F23">
        <v>17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 s="1">
        <v>15</v>
      </c>
      <c r="B24" t="s">
        <v>39</v>
      </c>
      <c r="C24" t="s">
        <v>76</v>
      </c>
      <c r="D24" t="str">
        <f>VLOOKUP(C24,Players!B:H,7,FALSE)</f>
        <v>Outfielder</v>
      </c>
      <c r="E24">
        <v>34</v>
      </c>
      <c r="F24">
        <v>56</v>
      </c>
      <c r="G24">
        <v>63</v>
      </c>
      <c r="H24">
        <v>61</v>
      </c>
      <c r="I24">
        <v>11</v>
      </c>
      <c r="J24">
        <v>16</v>
      </c>
      <c r="K24">
        <v>3</v>
      </c>
      <c r="L24">
        <v>1</v>
      </c>
      <c r="M24">
        <v>3</v>
      </c>
      <c r="N24">
        <v>8</v>
      </c>
      <c r="O24">
        <v>7</v>
      </c>
      <c r="P24">
        <v>0</v>
      </c>
      <c r="Q24">
        <v>2</v>
      </c>
      <c r="R24">
        <v>12</v>
      </c>
      <c r="S24">
        <v>0.26200000000000001</v>
      </c>
      <c r="T24">
        <v>0.28599999999999998</v>
      </c>
      <c r="U24">
        <v>0.49199999999999999</v>
      </c>
      <c r="V24">
        <v>0.77800000000000002</v>
      </c>
      <c r="W24">
        <v>107</v>
      </c>
      <c r="X24">
        <v>30</v>
      </c>
      <c r="Y24">
        <v>1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s="1">
        <v>14</v>
      </c>
      <c r="B25" t="s">
        <v>37</v>
      </c>
      <c r="C25" t="s">
        <v>42</v>
      </c>
      <c r="D25" t="str">
        <f>VLOOKUP(C25,Players!B:H,7,FALSE)</f>
        <v>Infielder</v>
      </c>
      <c r="E25">
        <v>25</v>
      </c>
      <c r="F25">
        <v>38</v>
      </c>
      <c r="G25">
        <v>100</v>
      </c>
      <c r="H25">
        <v>89</v>
      </c>
      <c r="I25">
        <v>14</v>
      </c>
      <c r="J25">
        <v>26</v>
      </c>
      <c r="K25">
        <v>4</v>
      </c>
      <c r="L25">
        <v>1</v>
      </c>
      <c r="M25">
        <v>1</v>
      </c>
      <c r="N25">
        <v>11</v>
      </c>
      <c r="O25">
        <v>11</v>
      </c>
      <c r="P25">
        <v>2</v>
      </c>
      <c r="Q25">
        <v>6</v>
      </c>
      <c r="R25">
        <v>12</v>
      </c>
      <c r="S25">
        <v>0.29199999999999998</v>
      </c>
      <c r="T25">
        <v>0.33</v>
      </c>
      <c r="U25">
        <v>0.39300000000000002</v>
      </c>
      <c r="V25">
        <v>0.72299999999999998</v>
      </c>
      <c r="W25">
        <v>97</v>
      </c>
      <c r="X25">
        <v>35</v>
      </c>
      <c r="Y25">
        <v>1</v>
      </c>
      <c r="Z25">
        <v>1</v>
      </c>
      <c r="AA25">
        <v>0</v>
      </c>
      <c r="AB25">
        <v>4</v>
      </c>
      <c r="AC25">
        <v>0</v>
      </c>
    </row>
    <row r="26" spans="1:29" x14ac:dyDescent="0.25">
      <c r="A26" s="1">
        <v>9</v>
      </c>
      <c r="B26" t="s">
        <v>36</v>
      </c>
      <c r="C26" t="s">
        <v>74</v>
      </c>
      <c r="D26" t="str">
        <f>VLOOKUP(C26,Players!B:H,7,FALSE)</f>
        <v>Infielder</v>
      </c>
      <c r="E26">
        <v>34</v>
      </c>
      <c r="F26">
        <v>113</v>
      </c>
      <c r="G26">
        <v>313</v>
      </c>
      <c r="H26">
        <v>278</v>
      </c>
      <c r="I26">
        <v>36</v>
      </c>
      <c r="J26">
        <v>78</v>
      </c>
      <c r="K26">
        <v>12</v>
      </c>
      <c r="L26">
        <v>0</v>
      </c>
      <c r="M26">
        <v>16</v>
      </c>
      <c r="N26">
        <v>37</v>
      </c>
      <c r="O26">
        <v>0</v>
      </c>
      <c r="P26">
        <v>0</v>
      </c>
      <c r="Q26">
        <v>30</v>
      </c>
      <c r="R26">
        <v>59</v>
      </c>
      <c r="S26">
        <v>0.28100000000000003</v>
      </c>
      <c r="T26">
        <v>0.34799999999999998</v>
      </c>
      <c r="U26">
        <v>0.496</v>
      </c>
      <c r="V26">
        <v>0.84499999999999997</v>
      </c>
      <c r="W26">
        <v>127</v>
      </c>
      <c r="X26">
        <v>138</v>
      </c>
      <c r="Y26">
        <v>10</v>
      </c>
      <c r="Z26">
        <v>1</v>
      </c>
      <c r="AA26">
        <v>0</v>
      </c>
      <c r="AB26">
        <v>4</v>
      </c>
      <c r="AC26">
        <v>3</v>
      </c>
    </row>
    <row r="27" spans="1:29" x14ac:dyDescent="0.25">
      <c r="A27" s="1">
        <v>23</v>
      </c>
      <c r="B27" t="s">
        <v>27</v>
      </c>
      <c r="C27" t="s">
        <v>47</v>
      </c>
      <c r="D27" t="str">
        <f>VLOOKUP(C27,Players!B:H,7,FALSE)</f>
        <v>Catcher</v>
      </c>
      <c r="E27">
        <v>26</v>
      </c>
      <c r="F27">
        <v>3</v>
      </c>
      <c r="G27">
        <v>2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0.5</v>
      </c>
      <c r="U27">
        <v>0</v>
      </c>
      <c r="V27">
        <v>0.5</v>
      </c>
      <c r="W27">
        <v>55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 s="1">
        <v>29</v>
      </c>
      <c r="B28" t="s">
        <v>48</v>
      </c>
      <c r="C28" t="s">
        <v>52</v>
      </c>
      <c r="D28" t="str">
        <f>VLOOKUP(C28,Players!B:H,7,FALSE)</f>
        <v>Pitcher</v>
      </c>
      <c r="E28">
        <v>35</v>
      </c>
      <c r="F28">
        <v>30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-100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 s="1">
        <v>28</v>
      </c>
      <c r="B29" t="s">
        <v>48</v>
      </c>
      <c r="C29" t="s">
        <v>51</v>
      </c>
      <c r="D29" t="str">
        <f>VLOOKUP(C29,Players!B:H,7,FALSE)</f>
        <v>Pitcher</v>
      </c>
      <c r="E29">
        <v>37</v>
      </c>
      <c r="F29">
        <v>33</v>
      </c>
      <c r="G29">
        <v>2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-100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 s="1">
        <v>11</v>
      </c>
      <c r="B30" t="s">
        <v>39</v>
      </c>
      <c r="C30" t="s">
        <v>75</v>
      </c>
      <c r="D30" t="str">
        <f>VLOOKUP(C30,Players!B:H,7,FALSE)</f>
        <v>Outfielder</v>
      </c>
      <c r="E30">
        <v>38</v>
      </c>
      <c r="F30">
        <v>67</v>
      </c>
      <c r="G30">
        <v>240</v>
      </c>
      <c r="H30">
        <v>227</v>
      </c>
      <c r="I30">
        <v>28</v>
      </c>
      <c r="J30">
        <v>73</v>
      </c>
      <c r="K30">
        <v>13</v>
      </c>
      <c r="L30">
        <v>1</v>
      </c>
      <c r="M30">
        <v>5</v>
      </c>
      <c r="N30">
        <v>27</v>
      </c>
      <c r="O30">
        <v>14</v>
      </c>
      <c r="P30">
        <v>5</v>
      </c>
      <c r="Q30">
        <v>5</v>
      </c>
      <c r="R30">
        <v>21</v>
      </c>
      <c r="S30">
        <v>0.32200000000000001</v>
      </c>
      <c r="T30">
        <v>0.34</v>
      </c>
      <c r="U30">
        <v>0.45400000000000001</v>
      </c>
      <c r="V30">
        <v>0.79400000000000004</v>
      </c>
      <c r="W30">
        <v>115</v>
      </c>
      <c r="X30">
        <v>103</v>
      </c>
      <c r="Y30">
        <v>2</v>
      </c>
      <c r="Z30">
        <v>2</v>
      </c>
      <c r="AA30">
        <v>5</v>
      </c>
      <c r="AB30">
        <v>1</v>
      </c>
      <c r="AC30">
        <v>1</v>
      </c>
    </row>
    <row r="31" spans="1:29" x14ac:dyDescent="0.25">
      <c r="A31" s="1">
        <v>24</v>
      </c>
      <c r="B31" t="s">
        <v>48</v>
      </c>
      <c r="C31" t="s">
        <v>49</v>
      </c>
      <c r="D31" t="str">
        <f>VLOOKUP(C31,Players!B:H,7,FALSE)</f>
        <v>Pitcher</v>
      </c>
      <c r="E31">
        <v>25</v>
      </c>
      <c r="F31">
        <v>28</v>
      </c>
      <c r="G31">
        <v>9</v>
      </c>
      <c r="H31">
        <v>7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6</v>
      </c>
      <c r="S31">
        <v>0.14299999999999999</v>
      </c>
      <c r="T31">
        <v>0.14299999999999999</v>
      </c>
      <c r="U31">
        <v>0.14299999999999999</v>
      </c>
      <c r="V31">
        <v>0.28599999999999998</v>
      </c>
      <c r="W31">
        <v>-21</v>
      </c>
      <c r="X31">
        <v>1</v>
      </c>
      <c r="Y31">
        <v>0</v>
      </c>
      <c r="Z31">
        <v>0</v>
      </c>
      <c r="AA31">
        <v>2</v>
      </c>
      <c r="AB31">
        <v>0</v>
      </c>
      <c r="AC31">
        <v>0</v>
      </c>
    </row>
    <row r="32" spans="1:29" x14ac:dyDescent="0.25">
      <c r="A32" s="1">
        <v>12</v>
      </c>
      <c r="B32" t="s">
        <v>37</v>
      </c>
      <c r="C32" t="s">
        <v>40</v>
      </c>
      <c r="D32" t="str">
        <f>VLOOKUP(C32,Players!B:H,7,FALSE)</f>
        <v>Infielder</v>
      </c>
      <c r="E32">
        <v>29</v>
      </c>
      <c r="F32">
        <v>74</v>
      </c>
      <c r="G32">
        <v>202</v>
      </c>
      <c r="H32">
        <v>177</v>
      </c>
      <c r="I32">
        <v>24</v>
      </c>
      <c r="J32">
        <v>43</v>
      </c>
      <c r="K32">
        <v>13</v>
      </c>
      <c r="L32">
        <v>0</v>
      </c>
      <c r="M32">
        <v>4</v>
      </c>
      <c r="N32">
        <v>18</v>
      </c>
      <c r="O32">
        <v>6</v>
      </c>
      <c r="P32">
        <v>3</v>
      </c>
      <c r="Q32">
        <v>14</v>
      </c>
      <c r="R32">
        <v>53</v>
      </c>
      <c r="S32">
        <v>0.24299999999999999</v>
      </c>
      <c r="T32">
        <v>0.30599999999999999</v>
      </c>
      <c r="U32">
        <v>0.38400000000000001</v>
      </c>
      <c r="V32">
        <v>0.69</v>
      </c>
      <c r="W32">
        <v>87</v>
      </c>
      <c r="X32">
        <v>68</v>
      </c>
      <c r="Y32">
        <v>4</v>
      </c>
      <c r="Z32">
        <v>2</v>
      </c>
      <c r="AA32">
        <v>9</v>
      </c>
      <c r="AB32">
        <v>0</v>
      </c>
      <c r="AC32">
        <v>0</v>
      </c>
    </row>
    <row r="33" spans="1:29" x14ac:dyDescent="0.25">
      <c r="A33" s="1">
        <v>32</v>
      </c>
      <c r="B33" t="s">
        <v>48</v>
      </c>
      <c r="C33" t="s">
        <v>55</v>
      </c>
      <c r="D33" t="str">
        <f>VLOOKUP(C33,Players!B:H,7,FALSE)</f>
        <v>Pitcher</v>
      </c>
      <c r="E33">
        <v>26</v>
      </c>
      <c r="F33">
        <v>22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 s="1">
        <v>38</v>
      </c>
      <c r="B34" t="s">
        <v>48</v>
      </c>
      <c r="C34" t="s">
        <v>82</v>
      </c>
      <c r="D34" t="str">
        <f>VLOOKUP(C34,Players!B:H,7,FALSE)</f>
        <v>Pitcher</v>
      </c>
      <c r="E34">
        <v>28</v>
      </c>
      <c r="F34">
        <v>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 s="1">
        <v>40</v>
      </c>
      <c r="B35" t="s">
        <v>48</v>
      </c>
      <c r="C35" t="s">
        <v>62</v>
      </c>
      <c r="D35" t="str">
        <f>VLOOKUP(C35,Players!B:H,7,FALSE)</f>
        <v>Pitcher</v>
      </c>
      <c r="E35">
        <v>42</v>
      </c>
      <c r="F35">
        <v>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 s="1">
        <v>2</v>
      </c>
      <c r="B36" t="s">
        <v>29</v>
      </c>
      <c r="C36" t="s">
        <v>69</v>
      </c>
      <c r="D36" t="str">
        <f>VLOOKUP(C36,Players!B:H,7,FALSE)</f>
        <v>Infielder</v>
      </c>
      <c r="E36">
        <v>32</v>
      </c>
      <c r="F36">
        <v>123</v>
      </c>
      <c r="G36">
        <v>524</v>
      </c>
      <c r="H36">
        <v>451</v>
      </c>
      <c r="I36">
        <v>66</v>
      </c>
      <c r="J36">
        <v>113</v>
      </c>
      <c r="K36">
        <v>27</v>
      </c>
      <c r="L36">
        <v>1</v>
      </c>
      <c r="M36">
        <v>24</v>
      </c>
      <c r="N36">
        <v>84</v>
      </c>
      <c r="O36">
        <v>2</v>
      </c>
      <c r="P36">
        <v>1</v>
      </c>
      <c r="Q36">
        <v>54</v>
      </c>
      <c r="R36">
        <v>83</v>
      </c>
      <c r="S36">
        <v>0.251</v>
      </c>
      <c r="T36">
        <v>0.33200000000000002</v>
      </c>
      <c r="U36">
        <v>0.47499999999999998</v>
      </c>
      <c r="V36">
        <v>0.80700000000000005</v>
      </c>
      <c r="W36">
        <v>117</v>
      </c>
      <c r="X36">
        <v>214</v>
      </c>
      <c r="Y36">
        <v>11</v>
      </c>
      <c r="Z36">
        <v>7</v>
      </c>
      <c r="AA36">
        <v>0</v>
      </c>
      <c r="AB36">
        <v>12</v>
      </c>
      <c r="AC36">
        <v>1</v>
      </c>
    </row>
    <row r="37" spans="1:29" x14ac:dyDescent="0.25">
      <c r="A37" s="1">
        <v>22</v>
      </c>
      <c r="B37" t="s">
        <v>37</v>
      </c>
      <c r="C37" t="s">
        <v>46</v>
      </c>
      <c r="D37" t="str">
        <f>VLOOKUP(C37,Players!B:H,7,FALSE)</f>
        <v>Pitcher</v>
      </c>
      <c r="E37">
        <v>25</v>
      </c>
      <c r="F37">
        <v>3</v>
      </c>
      <c r="G37">
        <v>2</v>
      </c>
      <c r="H37">
        <v>2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0.5</v>
      </c>
      <c r="T37">
        <v>0.5</v>
      </c>
      <c r="U37">
        <v>0.5</v>
      </c>
      <c r="V37">
        <v>1</v>
      </c>
      <c r="W37">
        <v>175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 s="1">
        <v>8</v>
      </c>
      <c r="B38" t="s">
        <v>35</v>
      </c>
      <c r="C38" t="s">
        <v>73</v>
      </c>
      <c r="D38" t="str">
        <f>VLOOKUP(C38,Players!B:H,7,FALSE)</f>
        <v>Outfielder</v>
      </c>
      <c r="E38">
        <v>31</v>
      </c>
      <c r="F38">
        <v>148</v>
      </c>
      <c r="G38">
        <v>624</v>
      </c>
      <c r="H38">
        <v>537</v>
      </c>
      <c r="I38">
        <v>75</v>
      </c>
      <c r="J38">
        <v>146</v>
      </c>
      <c r="K38">
        <v>36</v>
      </c>
      <c r="L38">
        <v>0</v>
      </c>
      <c r="M38">
        <v>24</v>
      </c>
      <c r="N38">
        <v>93</v>
      </c>
      <c r="O38">
        <v>2</v>
      </c>
      <c r="P38">
        <v>3</v>
      </c>
      <c r="Q38">
        <v>77</v>
      </c>
      <c r="R38">
        <v>141</v>
      </c>
      <c r="S38">
        <v>0.27200000000000002</v>
      </c>
      <c r="T38">
        <v>0.36399999999999999</v>
      </c>
      <c r="U38">
        <v>0.47299999999999998</v>
      </c>
      <c r="V38">
        <v>0.83699999999999997</v>
      </c>
      <c r="W38">
        <v>127</v>
      </c>
      <c r="X38">
        <v>254</v>
      </c>
      <c r="Y38">
        <v>9</v>
      </c>
      <c r="Z38">
        <v>4</v>
      </c>
      <c r="AA38">
        <v>1</v>
      </c>
      <c r="AB38">
        <v>5</v>
      </c>
      <c r="AC38">
        <v>2</v>
      </c>
    </row>
    <row r="39" spans="1:29" x14ac:dyDescent="0.25">
      <c r="A39" s="1">
        <v>27</v>
      </c>
      <c r="B39" t="s">
        <v>48</v>
      </c>
      <c r="C39" t="s">
        <v>50</v>
      </c>
      <c r="D39" t="str">
        <f>VLOOKUP(C39,Players!B:H,7,FALSE)</f>
        <v>Pitcher</v>
      </c>
      <c r="E39">
        <v>26</v>
      </c>
      <c r="F39">
        <v>32</v>
      </c>
      <c r="G39">
        <v>2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-100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 s="1">
        <v>43</v>
      </c>
      <c r="B40" t="s">
        <v>48</v>
      </c>
      <c r="C40" t="s">
        <v>65</v>
      </c>
      <c r="D40" t="str">
        <f>VLOOKUP(C40,Players!B:H,7,FALSE)</f>
        <v>Pitcher</v>
      </c>
      <c r="E40">
        <v>32</v>
      </c>
      <c r="F40">
        <v>69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 s="1">
        <v>20</v>
      </c>
      <c r="B41" t="s">
        <v>37</v>
      </c>
      <c r="C41" t="s">
        <v>79</v>
      </c>
      <c r="D41" t="str">
        <f>VLOOKUP(C41,Players!B:H,7,FALSE)</f>
        <v>Infielder</v>
      </c>
      <c r="E41">
        <v>26</v>
      </c>
      <c r="F41">
        <v>3</v>
      </c>
      <c r="G41">
        <v>4</v>
      </c>
      <c r="H41">
        <v>4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0.25</v>
      </c>
      <c r="T41">
        <v>0.25</v>
      </c>
      <c r="U41">
        <v>0.25</v>
      </c>
      <c r="V41">
        <v>0.5</v>
      </c>
      <c r="W41">
        <v>38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 s="1">
        <v>6</v>
      </c>
      <c r="B42" t="s">
        <v>33</v>
      </c>
      <c r="C42" t="s">
        <v>71</v>
      </c>
      <c r="D42" t="str">
        <f>VLOOKUP(C42,Players!B:H,7,FALSE)</f>
        <v>Outfielder</v>
      </c>
      <c r="E42">
        <v>40</v>
      </c>
      <c r="F42">
        <v>130</v>
      </c>
      <c r="G42">
        <v>425</v>
      </c>
      <c r="H42">
        <v>384</v>
      </c>
      <c r="I42">
        <v>50</v>
      </c>
      <c r="J42">
        <v>92</v>
      </c>
      <c r="K42">
        <v>19</v>
      </c>
      <c r="L42">
        <v>3</v>
      </c>
      <c r="M42">
        <v>19</v>
      </c>
      <c r="N42">
        <v>62</v>
      </c>
      <c r="O42">
        <v>3</v>
      </c>
      <c r="P42">
        <v>0</v>
      </c>
      <c r="Q42">
        <v>35</v>
      </c>
      <c r="R42">
        <v>67</v>
      </c>
      <c r="S42">
        <v>0.24</v>
      </c>
      <c r="T42">
        <v>0.308</v>
      </c>
      <c r="U42">
        <v>0.45300000000000001</v>
      </c>
      <c r="V42">
        <v>0.76100000000000001</v>
      </c>
      <c r="W42">
        <v>104</v>
      </c>
      <c r="X42">
        <v>174</v>
      </c>
      <c r="Y42">
        <v>14</v>
      </c>
      <c r="Z42">
        <v>4</v>
      </c>
      <c r="AA42">
        <v>0</v>
      </c>
      <c r="AB42">
        <v>2</v>
      </c>
      <c r="AC42">
        <v>5</v>
      </c>
    </row>
    <row r="43" spans="1:29" x14ac:dyDescent="0.25">
      <c r="A43" s="1">
        <v>3</v>
      </c>
      <c r="B43" t="s">
        <v>8</v>
      </c>
      <c r="C43" t="s">
        <v>70</v>
      </c>
      <c r="D43" t="str">
        <f>VLOOKUP(C43,Players!B:H,7,FALSE)</f>
        <v>Infielder</v>
      </c>
      <c r="E43">
        <v>29</v>
      </c>
      <c r="F43">
        <v>161</v>
      </c>
      <c r="G43">
        <v>697</v>
      </c>
      <c r="H43">
        <v>627</v>
      </c>
      <c r="I43">
        <v>105</v>
      </c>
      <c r="J43">
        <v>196</v>
      </c>
      <c r="K43">
        <v>48</v>
      </c>
      <c r="L43">
        <v>1</v>
      </c>
      <c r="M43">
        <v>33</v>
      </c>
      <c r="N43">
        <v>94</v>
      </c>
      <c r="O43">
        <v>3</v>
      </c>
      <c r="P43">
        <v>2</v>
      </c>
      <c r="Q43">
        <v>61</v>
      </c>
      <c r="R43">
        <v>96</v>
      </c>
      <c r="S43">
        <v>0.313</v>
      </c>
      <c r="T43">
        <v>0.379</v>
      </c>
      <c r="U43">
        <v>0.55000000000000004</v>
      </c>
      <c r="V43">
        <v>0.92900000000000005</v>
      </c>
      <c r="W43">
        <v>150</v>
      </c>
      <c r="X43">
        <v>345</v>
      </c>
      <c r="Y43">
        <v>22</v>
      </c>
      <c r="Z43">
        <v>7</v>
      </c>
      <c r="AA43">
        <v>0</v>
      </c>
      <c r="AB43">
        <v>2</v>
      </c>
      <c r="AC43">
        <v>10</v>
      </c>
    </row>
    <row r="44" spans="1:29" x14ac:dyDescent="0.25">
      <c r="A44" s="1">
        <v>1</v>
      </c>
      <c r="B44" t="s">
        <v>27</v>
      </c>
      <c r="C44" t="s">
        <v>28</v>
      </c>
      <c r="D44" t="str">
        <f>VLOOKUP(C44,Players!B:H,7,FALSE)</f>
        <v>Catcher</v>
      </c>
      <c r="E44">
        <v>29</v>
      </c>
      <c r="F44">
        <v>133</v>
      </c>
      <c r="G44">
        <v>485</v>
      </c>
      <c r="H44">
        <v>422</v>
      </c>
      <c r="I44">
        <v>50</v>
      </c>
      <c r="J44">
        <v>89</v>
      </c>
      <c r="K44">
        <v>18</v>
      </c>
      <c r="L44">
        <v>0</v>
      </c>
      <c r="M44">
        <v>21</v>
      </c>
      <c r="N44">
        <v>53</v>
      </c>
      <c r="O44">
        <v>6</v>
      </c>
      <c r="P44">
        <v>1</v>
      </c>
      <c r="Q44">
        <v>53</v>
      </c>
      <c r="R44">
        <v>95</v>
      </c>
      <c r="S44">
        <v>0.21099999999999999</v>
      </c>
      <c r="T44">
        <v>0.311</v>
      </c>
      <c r="U44">
        <v>0.40300000000000002</v>
      </c>
      <c r="V44">
        <v>0.71299999999999997</v>
      </c>
      <c r="W44">
        <v>93</v>
      </c>
      <c r="X44">
        <v>170</v>
      </c>
      <c r="Y44">
        <v>13</v>
      </c>
      <c r="Z44">
        <v>8</v>
      </c>
      <c r="AA44">
        <v>2</v>
      </c>
      <c r="AB44">
        <v>0</v>
      </c>
      <c r="AC44">
        <v>0</v>
      </c>
    </row>
    <row r="45" spans="1:29" x14ac:dyDescent="0.25">
      <c r="A45" s="1">
        <v>39</v>
      </c>
      <c r="B45" t="s">
        <v>48</v>
      </c>
      <c r="C45" t="s">
        <v>61</v>
      </c>
      <c r="D45" t="str">
        <f>VLOOKUP(C45,Players!B:H,7,FALSE)</f>
        <v>Pitcher</v>
      </c>
      <c r="E45">
        <v>33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 s="1">
        <v>18</v>
      </c>
      <c r="B46" t="s">
        <v>37</v>
      </c>
      <c r="C46" t="s">
        <v>44</v>
      </c>
      <c r="D46" t="str">
        <f>VLOOKUP(C46,Players!B:H,7,FALSE)</f>
        <v>Infielder</v>
      </c>
      <c r="E46">
        <v>29</v>
      </c>
      <c r="F46">
        <v>12</v>
      </c>
      <c r="G46">
        <v>30</v>
      </c>
      <c r="H46">
        <v>25</v>
      </c>
      <c r="I46">
        <v>6</v>
      </c>
      <c r="J46">
        <v>4</v>
      </c>
      <c r="K46">
        <v>0</v>
      </c>
      <c r="L46">
        <v>0</v>
      </c>
      <c r="M46">
        <v>1</v>
      </c>
      <c r="N46">
        <v>4</v>
      </c>
      <c r="O46">
        <v>0</v>
      </c>
      <c r="P46">
        <v>0</v>
      </c>
      <c r="Q46">
        <v>5</v>
      </c>
      <c r="R46">
        <v>8</v>
      </c>
      <c r="S46">
        <v>0.16</v>
      </c>
      <c r="T46">
        <v>0.3</v>
      </c>
      <c r="U46">
        <v>0.28000000000000003</v>
      </c>
      <c r="V46">
        <v>0.57999999999999996</v>
      </c>
      <c r="W46">
        <v>60</v>
      </c>
      <c r="X46">
        <v>7</v>
      </c>
      <c r="Y46">
        <v>0</v>
      </c>
      <c r="Z46">
        <v>0</v>
      </c>
      <c r="AA46">
        <v>0</v>
      </c>
      <c r="AB46">
        <v>0</v>
      </c>
      <c r="AC46">
        <v>0</v>
      </c>
    </row>
  </sheetData>
  <autoFilter ref="A1:AD46">
    <sortState ref="A2:AE46">
      <sortCondition ref="C1:C4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F21" sqref="F21"/>
    </sheetView>
  </sheetViews>
  <sheetFormatPr defaultRowHeight="15" x14ac:dyDescent="0.25"/>
  <cols>
    <col min="3" max="3" width="19.7109375" customWidth="1"/>
    <col min="4" max="4" width="10.28515625" customWidth="1"/>
    <col min="5" max="5" width="11.85546875" bestFit="1" customWidth="1"/>
    <col min="7" max="7" width="7.42578125" customWidth="1"/>
    <col min="8" max="8" width="9.140625" customWidth="1"/>
  </cols>
  <sheetData>
    <row r="1" spans="1:8" x14ac:dyDescent="0.25">
      <c r="A1" s="1" t="s">
        <v>0</v>
      </c>
      <c r="B1" t="s">
        <v>1</v>
      </c>
      <c r="C1" t="s">
        <v>68</v>
      </c>
      <c r="D1" t="s">
        <v>132</v>
      </c>
      <c r="E1" t="s">
        <v>133</v>
      </c>
      <c r="F1" t="s">
        <v>134</v>
      </c>
      <c r="G1" t="s">
        <v>121</v>
      </c>
      <c r="H1" t="s">
        <v>2</v>
      </c>
    </row>
    <row r="2" spans="1:8" x14ac:dyDescent="0.25">
      <c r="A2" s="1">
        <v>45</v>
      </c>
      <c r="B2" t="s">
        <v>48</v>
      </c>
      <c r="C2" t="s">
        <v>67</v>
      </c>
      <c r="D2" t="str">
        <f>VLOOKUP(C2,Players!B:H,7,FALSE)</f>
        <v>Pitcher</v>
      </c>
      <c r="F2">
        <v>74</v>
      </c>
      <c r="G2">
        <f>VLOOKUP(C2,Players!B:D,3,FALSE)</f>
        <v>200</v>
      </c>
      <c r="H2">
        <v>24</v>
      </c>
    </row>
    <row r="3" spans="1:8" x14ac:dyDescent="0.25">
      <c r="A3" s="1">
        <v>5</v>
      </c>
      <c r="B3" t="s">
        <v>9</v>
      </c>
      <c r="C3" t="s">
        <v>32</v>
      </c>
      <c r="D3" t="str">
        <f>VLOOKUP(C3,Players!B:H,7,FALSE)</f>
        <v>Infielder</v>
      </c>
      <c r="E3">
        <v>29000000</v>
      </c>
      <c r="F3">
        <v>75</v>
      </c>
      <c r="G3">
        <f>VLOOKUP(C3,Players!B:D,3,FALSE)</f>
        <v>225</v>
      </c>
      <c r="H3">
        <v>36</v>
      </c>
    </row>
    <row r="4" spans="1:8" x14ac:dyDescent="0.25">
      <c r="A4" s="1">
        <v>10</v>
      </c>
      <c r="B4" t="s">
        <v>37</v>
      </c>
      <c r="C4" t="s">
        <v>38</v>
      </c>
      <c r="D4" t="str">
        <f>VLOOKUP(C4,Players!B:H,7,FALSE)</f>
        <v>Outfielder</v>
      </c>
      <c r="E4">
        <v>2000000</v>
      </c>
      <c r="F4">
        <v>73</v>
      </c>
      <c r="G4">
        <f>VLOOKUP(C4,Players!B:D,3,FALSE)</f>
        <v>225</v>
      </c>
      <c r="H4">
        <v>35</v>
      </c>
    </row>
    <row r="5" spans="1:8" x14ac:dyDescent="0.25">
      <c r="A5" s="1">
        <v>25</v>
      </c>
      <c r="B5" t="s">
        <v>48</v>
      </c>
      <c r="C5" t="s">
        <v>80</v>
      </c>
      <c r="D5" t="str">
        <f>VLOOKUP(C5,Players!B:H,7,FALSE)</f>
        <v>Pitcher</v>
      </c>
      <c r="E5">
        <v>2500000</v>
      </c>
      <c r="F5">
        <v>77</v>
      </c>
      <c r="G5">
        <f>VLOOKUP(C5,Players!B:D,3,FALSE)</f>
        <v>225</v>
      </c>
      <c r="H5">
        <v>40</v>
      </c>
    </row>
    <row r="6" spans="1:8" x14ac:dyDescent="0.25">
      <c r="A6" s="1">
        <v>33</v>
      </c>
      <c r="B6" t="s">
        <v>48</v>
      </c>
      <c r="C6" t="s">
        <v>56</v>
      </c>
      <c r="D6" t="str">
        <f>VLOOKUP(C6,Players!B:H,7,FALSE)</f>
        <v>Pitcher</v>
      </c>
      <c r="E6">
        <v>1875000</v>
      </c>
      <c r="F6">
        <v>77</v>
      </c>
      <c r="G6">
        <f>VLOOKUP(C6,Players!B:D,3,FALSE)</f>
        <v>215</v>
      </c>
      <c r="H6">
        <v>27</v>
      </c>
    </row>
    <row r="7" spans="1:8" x14ac:dyDescent="0.25">
      <c r="A7" s="1">
        <v>17</v>
      </c>
      <c r="B7" t="s">
        <v>33</v>
      </c>
      <c r="C7" t="s">
        <v>77</v>
      </c>
      <c r="D7" t="str">
        <f>VLOOKUP(C7,Players!B:H,7,FALSE)</f>
        <v>Outfielder</v>
      </c>
      <c r="E7">
        <v>2800000</v>
      </c>
      <c r="F7">
        <v>70</v>
      </c>
      <c r="G7">
        <f>VLOOKUP(C7,Players!B:D,3,FALSE)</f>
        <v>185</v>
      </c>
      <c r="H7">
        <v>28</v>
      </c>
    </row>
    <row r="8" spans="1:8" x14ac:dyDescent="0.25">
      <c r="A8" s="1">
        <v>16</v>
      </c>
      <c r="B8" t="s">
        <v>37</v>
      </c>
      <c r="C8" t="s">
        <v>43</v>
      </c>
      <c r="D8" t="str">
        <f>VLOOKUP(C8,Players!B:H,7,FALSE)</f>
        <v>Infielder</v>
      </c>
      <c r="F8">
        <v>73</v>
      </c>
      <c r="G8">
        <f>VLOOKUP(C8,Players!B:D,3,FALSE)</f>
        <v>220</v>
      </c>
      <c r="H8">
        <v>29</v>
      </c>
    </row>
    <row r="9" spans="1:8" x14ac:dyDescent="0.25">
      <c r="A9" s="1">
        <v>26</v>
      </c>
      <c r="B9" t="s">
        <v>48</v>
      </c>
      <c r="C9" t="s">
        <v>81</v>
      </c>
      <c r="D9" t="str">
        <f>VLOOKUP(C9,Players!B:H,7,FALSE)</f>
        <v>Pitcher</v>
      </c>
      <c r="E9">
        <v>23000000</v>
      </c>
      <c r="F9">
        <v>79</v>
      </c>
      <c r="G9">
        <f>VLOOKUP(C9,Players!B:D,3,FALSE)</f>
        <v>290</v>
      </c>
      <c r="H9">
        <v>31</v>
      </c>
    </row>
    <row r="10" spans="1:8" x14ac:dyDescent="0.25">
      <c r="A10" s="1">
        <v>35</v>
      </c>
      <c r="B10" t="s">
        <v>48</v>
      </c>
      <c r="C10" t="s">
        <v>58</v>
      </c>
      <c r="D10" t="str">
        <f>VLOOKUP(C10,Players!B:H,7,FALSE)</f>
        <v>Pitcher</v>
      </c>
      <c r="F10">
        <v>77</v>
      </c>
      <c r="G10">
        <f>VLOOKUP(C10,Players!B:D,3,FALSE)</f>
        <v>240</v>
      </c>
      <c r="H10">
        <v>33</v>
      </c>
    </row>
    <row r="11" spans="1:8" x14ac:dyDescent="0.25">
      <c r="A11" s="1">
        <v>19</v>
      </c>
      <c r="B11" t="s">
        <v>39</v>
      </c>
      <c r="C11" t="s">
        <v>78</v>
      </c>
      <c r="D11" t="str">
        <f>VLOOKUP(C11,Players!B:H,7,FALSE)</f>
        <v>Outfielder</v>
      </c>
      <c r="F11">
        <v>75</v>
      </c>
      <c r="G11">
        <f>VLOOKUP(C11,Players!B:D,3,FALSE)</f>
        <v>230</v>
      </c>
      <c r="H11">
        <v>30</v>
      </c>
    </row>
    <row r="12" spans="1:8" x14ac:dyDescent="0.25">
      <c r="A12" s="1">
        <v>13</v>
      </c>
      <c r="B12" t="s">
        <v>27</v>
      </c>
      <c r="C12" t="s">
        <v>41</v>
      </c>
      <c r="D12" t="str">
        <f>VLOOKUP(C12,Players!B:H,7,FALSE)</f>
        <v>Catcher</v>
      </c>
      <c r="E12">
        <v>482500</v>
      </c>
      <c r="F12">
        <v>76</v>
      </c>
      <c r="G12">
        <f>VLOOKUP(C12,Players!B:D,3,FALSE)</f>
        <v>210</v>
      </c>
      <c r="H12">
        <v>30</v>
      </c>
    </row>
    <row r="13" spans="1:8" x14ac:dyDescent="0.25">
      <c r="A13" s="1">
        <v>31</v>
      </c>
      <c r="B13" t="s">
        <v>48</v>
      </c>
      <c r="C13" t="s">
        <v>54</v>
      </c>
      <c r="D13" t="str">
        <f>VLOOKUP(C13,Players!B:H,7,FALSE)</f>
        <v>Pitcher</v>
      </c>
      <c r="E13">
        <v>525000</v>
      </c>
      <c r="F13">
        <v>77</v>
      </c>
      <c r="G13">
        <f>VLOOKUP(C13,Players!B:D,3,FALSE)</f>
        <v>200</v>
      </c>
      <c r="H13">
        <v>31</v>
      </c>
    </row>
    <row r="14" spans="1:8" x14ac:dyDescent="0.25">
      <c r="A14" s="1">
        <v>41</v>
      </c>
      <c r="B14" t="s">
        <v>48</v>
      </c>
      <c r="C14" t="s">
        <v>63</v>
      </c>
      <c r="D14" t="str">
        <f>VLOOKUP(C14,Players!B:H,7,FALSE)</f>
        <v>Pitcher</v>
      </c>
      <c r="F14">
        <v>77</v>
      </c>
      <c r="G14">
        <f>VLOOKUP(C14,Players!B:D,3,FALSE)</f>
        <v>205</v>
      </c>
      <c r="H14">
        <v>26</v>
      </c>
    </row>
    <row r="15" spans="1:8" x14ac:dyDescent="0.25">
      <c r="A15" s="1">
        <v>42</v>
      </c>
      <c r="B15" t="s">
        <v>48</v>
      </c>
      <c r="C15" t="s">
        <v>64</v>
      </c>
      <c r="D15" t="str">
        <f>VLOOKUP(C15,Players!B:H,7,FALSE)</f>
        <v>Pitcher</v>
      </c>
      <c r="E15">
        <v>508925</v>
      </c>
      <c r="F15">
        <v>74</v>
      </c>
      <c r="G15">
        <f>VLOOKUP(C15,Players!B:D,3,FALSE)</f>
        <v>185</v>
      </c>
      <c r="H15">
        <v>29</v>
      </c>
    </row>
    <row r="16" spans="1:8" x14ac:dyDescent="0.25">
      <c r="A16" s="1">
        <v>7</v>
      </c>
      <c r="B16" t="s">
        <v>34</v>
      </c>
      <c r="C16" t="s">
        <v>72</v>
      </c>
      <c r="D16" t="str">
        <f>VLOOKUP(C16,Players!B:H,7,FALSE)</f>
        <v>Outfielder</v>
      </c>
      <c r="E16">
        <v>10000000</v>
      </c>
      <c r="F16">
        <v>73</v>
      </c>
      <c r="G16">
        <f>VLOOKUP(C16,Players!B:D,3,FALSE)</f>
        <v>195</v>
      </c>
      <c r="H16">
        <v>31</v>
      </c>
    </row>
    <row r="17" spans="1:8" x14ac:dyDescent="0.25">
      <c r="A17" s="1">
        <v>34</v>
      </c>
      <c r="B17" t="s">
        <v>48</v>
      </c>
      <c r="C17" t="s">
        <v>57</v>
      </c>
      <c r="D17" t="str">
        <f>VLOOKUP(C17,Players!B:H,7,FALSE)</f>
        <v>Pitcher</v>
      </c>
      <c r="F17">
        <v>72</v>
      </c>
      <c r="G17">
        <f>VLOOKUP(C17,Players!B:D,3,FALSE)</f>
        <v>160</v>
      </c>
      <c r="H17">
        <v>25</v>
      </c>
    </row>
    <row r="18" spans="1:8" x14ac:dyDescent="0.25">
      <c r="A18" s="1">
        <v>21</v>
      </c>
      <c r="B18" t="s">
        <v>39</v>
      </c>
      <c r="C18" t="s">
        <v>45</v>
      </c>
      <c r="D18" t="str">
        <f>VLOOKUP(C18,Players!B:H,7,FALSE)</f>
        <v>Outfielder</v>
      </c>
      <c r="F18">
        <v>71</v>
      </c>
      <c r="G18">
        <f>VLOOKUP(C18,Players!B:D,3,FALSE)</f>
        <v>205</v>
      </c>
      <c r="H18">
        <v>33</v>
      </c>
    </row>
    <row r="19" spans="1:8" x14ac:dyDescent="0.25">
      <c r="A19" s="1">
        <v>30</v>
      </c>
      <c r="B19" t="s">
        <v>48</v>
      </c>
      <c r="C19" t="s">
        <v>53</v>
      </c>
      <c r="D19" t="str">
        <f>VLOOKUP(C19,Players!B:H,7,FALSE)</f>
        <v>Pitcher</v>
      </c>
      <c r="E19">
        <v>500000</v>
      </c>
      <c r="F19">
        <v>77</v>
      </c>
      <c r="G19">
        <f>VLOOKUP(C19,Players!B:D,3,FALSE)</f>
        <v>205</v>
      </c>
      <c r="H19">
        <v>30</v>
      </c>
    </row>
    <row r="20" spans="1:8" x14ac:dyDescent="0.25">
      <c r="A20" s="1">
        <v>37</v>
      </c>
      <c r="B20" t="s">
        <v>48</v>
      </c>
      <c r="C20" t="s">
        <v>60</v>
      </c>
      <c r="D20" t="str">
        <f>VLOOKUP(C20,Players!B:H,7,FALSE)</f>
        <v>Pitcher</v>
      </c>
      <c r="F20">
        <v>74</v>
      </c>
      <c r="G20">
        <f>VLOOKUP(C20,Players!B:D,3,FALSE)</f>
        <v>200</v>
      </c>
      <c r="H20">
        <v>25</v>
      </c>
    </row>
    <row r="21" spans="1:8" x14ac:dyDescent="0.25">
      <c r="A21" s="1">
        <v>44</v>
      </c>
      <c r="B21" t="s">
        <v>48</v>
      </c>
      <c r="C21" t="s">
        <v>66</v>
      </c>
      <c r="D21" t="str">
        <f>VLOOKUP(C21,Players!B:H,7,FALSE)</f>
        <v>Pitcher</v>
      </c>
      <c r="E21">
        <v>1600000</v>
      </c>
      <c r="F21">
        <v>71</v>
      </c>
      <c r="G21">
        <f>VLOOKUP(C21,Players!B:D,3,FALSE)</f>
        <v>195</v>
      </c>
      <c r="H21">
        <v>27</v>
      </c>
    </row>
    <row r="22" spans="1:8" x14ac:dyDescent="0.25">
      <c r="A22" s="1">
        <v>4</v>
      </c>
      <c r="B22" t="s">
        <v>30</v>
      </c>
      <c r="C22" t="s">
        <v>31</v>
      </c>
      <c r="D22" t="str">
        <f>VLOOKUP(C22,Players!B:H,7,FALSE)</f>
        <v>Infielder</v>
      </c>
      <c r="E22">
        <v>16000000</v>
      </c>
      <c r="F22">
        <v>75</v>
      </c>
      <c r="G22">
        <f>VLOOKUP(C22,Players!B:D,3,FALSE)</f>
        <v>195</v>
      </c>
      <c r="H22">
        <v>38</v>
      </c>
    </row>
    <row r="23" spans="1:8" x14ac:dyDescent="0.25">
      <c r="A23" s="1">
        <v>36</v>
      </c>
      <c r="B23" t="s">
        <v>48</v>
      </c>
      <c r="C23" t="s">
        <v>59</v>
      </c>
      <c r="D23" t="str">
        <f>VLOOKUP(C23,Players!B:H,7,FALSE)</f>
        <v>Pitcher</v>
      </c>
      <c r="F23">
        <v>78</v>
      </c>
      <c r="G23">
        <f>VLOOKUP(C23,Players!B:D,3,FALSE)</f>
        <v>230</v>
      </c>
      <c r="H23">
        <v>39</v>
      </c>
    </row>
    <row r="24" spans="1:8" x14ac:dyDescent="0.25">
      <c r="A24" s="1">
        <v>15</v>
      </c>
      <c r="B24" t="s">
        <v>39</v>
      </c>
      <c r="C24" t="s">
        <v>76</v>
      </c>
      <c r="D24" t="str">
        <f>VLOOKUP(C24,Players!B:H,7,FALSE)</f>
        <v>Outfielder</v>
      </c>
      <c r="F24">
        <v>72</v>
      </c>
      <c r="G24">
        <f>VLOOKUP(C24,Players!B:D,3,FALSE)</f>
        <v>200</v>
      </c>
      <c r="H24">
        <v>34</v>
      </c>
    </row>
    <row r="25" spans="1:8" x14ac:dyDescent="0.25">
      <c r="A25" s="1">
        <v>14</v>
      </c>
      <c r="B25" t="s">
        <v>37</v>
      </c>
      <c r="C25" t="s">
        <v>42</v>
      </c>
      <c r="D25" t="str">
        <f>VLOOKUP(C25,Players!B:H,7,FALSE)</f>
        <v>Infielder</v>
      </c>
      <c r="E25">
        <v>523800</v>
      </c>
      <c r="F25">
        <v>72</v>
      </c>
      <c r="G25">
        <f>VLOOKUP(C25,Players!B:D,3,FALSE)</f>
        <v>185</v>
      </c>
      <c r="H25">
        <v>25</v>
      </c>
    </row>
    <row r="26" spans="1:8" x14ac:dyDescent="0.25">
      <c r="A26" s="1">
        <v>9</v>
      </c>
      <c r="B26" t="s">
        <v>36</v>
      </c>
      <c r="C26" t="s">
        <v>74</v>
      </c>
      <c r="D26" t="str">
        <f>VLOOKUP(C26,Players!B:H,7,FALSE)</f>
        <v>Infielder</v>
      </c>
      <c r="E26">
        <v>900000</v>
      </c>
      <c r="F26">
        <v>73</v>
      </c>
      <c r="G26">
        <f>VLOOKUP(C26,Players!B:D,3,FALSE)</f>
        <v>215</v>
      </c>
      <c r="H26">
        <v>34</v>
      </c>
    </row>
    <row r="27" spans="1:8" x14ac:dyDescent="0.25">
      <c r="A27" s="1">
        <v>23</v>
      </c>
      <c r="B27" t="s">
        <v>27</v>
      </c>
      <c r="C27" t="s">
        <v>47</v>
      </c>
      <c r="D27" t="str">
        <f>VLOOKUP(C27,Players!B:H,7,FALSE)</f>
        <v>Catcher</v>
      </c>
      <c r="F27">
        <v>73</v>
      </c>
      <c r="G27">
        <f>VLOOKUP(C27,Players!B:D,3,FALSE)</f>
        <v>205</v>
      </c>
      <c r="H27">
        <v>26</v>
      </c>
    </row>
    <row r="28" spans="1:8" x14ac:dyDescent="0.25">
      <c r="A28" s="1">
        <v>29</v>
      </c>
      <c r="B28" t="s">
        <v>48</v>
      </c>
      <c r="C28" t="s">
        <v>52</v>
      </c>
      <c r="D28" t="str">
        <f>VLOOKUP(C28,Players!B:H,7,FALSE)</f>
        <v>Pitcher</v>
      </c>
      <c r="E28">
        <v>4000000</v>
      </c>
      <c r="F28">
        <v>76</v>
      </c>
      <c r="G28">
        <f>VLOOKUP(C28,Players!B:D,3,FALSE)</f>
        <v>255</v>
      </c>
      <c r="H28">
        <v>35</v>
      </c>
    </row>
    <row r="29" spans="1:8" x14ac:dyDescent="0.25">
      <c r="A29" s="1">
        <v>28</v>
      </c>
      <c r="B29" t="s">
        <v>48</v>
      </c>
      <c r="C29" t="s">
        <v>51</v>
      </c>
      <c r="D29" t="str">
        <f>VLOOKUP(C29,Players!B:H,7,FALSE)</f>
        <v>Pitcher</v>
      </c>
      <c r="E29">
        <v>10000000</v>
      </c>
      <c r="F29">
        <v>73</v>
      </c>
      <c r="G29">
        <f>VLOOKUP(C29,Players!B:D,3,FALSE)</f>
        <v>205</v>
      </c>
      <c r="H29">
        <v>37</v>
      </c>
    </row>
    <row r="30" spans="1:8" x14ac:dyDescent="0.25">
      <c r="A30" s="1">
        <v>11</v>
      </c>
      <c r="B30" t="s">
        <v>39</v>
      </c>
      <c r="C30" t="s">
        <v>75</v>
      </c>
      <c r="D30" t="str">
        <f>VLOOKUP(C30,Players!B:H,7,FALSE)</f>
        <v>Outfielder</v>
      </c>
      <c r="F30">
        <v>71</v>
      </c>
      <c r="G30">
        <f>VLOOKUP(C30,Players!B:D,3,FALSE)</f>
        <v>170</v>
      </c>
      <c r="H30">
        <v>38</v>
      </c>
    </row>
    <row r="31" spans="1:8" x14ac:dyDescent="0.25">
      <c r="A31" s="1">
        <v>24</v>
      </c>
      <c r="B31" t="s">
        <v>48</v>
      </c>
      <c r="C31" t="s">
        <v>49</v>
      </c>
      <c r="D31" t="str">
        <f>VLOOKUP(C31,Players!B:H,7,FALSE)</f>
        <v>Pitcher</v>
      </c>
      <c r="E31">
        <v>527200</v>
      </c>
      <c r="F31">
        <v>76</v>
      </c>
      <c r="G31">
        <f>VLOOKUP(C31,Players!B:D,3,FALSE)</f>
        <v>225</v>
      </c>
      <c r="H31">
        <v>25</v>
      </c>
    </row>
    <row r="32" spans="1:8" x14ac:dyDescent="0.25">
      <c r="A32" s="1">
        <v>12</v>
      </c>
      <c r="B32" t="s">
        <v>37</v>
      </c>
      <c r="C32" t="s">
        <v>40</v>
      </c>
      <c r="D32" t="str">
        <f>VLOOKUP(C32,Players!B:H,7,FALSE)</f>
        <v>Infielder</v>
      </c>
      <c r="F32">
        <v>71</v>
      </c>
      <c r="G32">
        <f>VLOOKUP(C32,Players!B:D,3,FALSE)</f>
        <v>195</v>
      </c>
      <c r="H32">
        <v>29</v>
      </c>
    </row>
    <row r="33" spans="1:8" x14ac:dyDescent="0.25">
      <c r="A33" s="1">
        <v>32</v>
      </c>
      <c r="B33" t="s">
        <v>48</v>
      </c>
      <c r="C33" t="s">
        <v>55</v>
      </c>
      <c r="D33" t="str">
        <f>VLOOKUP(C33,Players!B:H,7,FALSE)</f>
        <v>Pitcher</v>
      </c>
      <c r="E33">
        <v>1675000</v>
      </c>
      <c r="F33">
        <v>74</v>
      </c>
      <c r="G33">
        <f>VLOOKUP(C33,Players!B:D,3,FALSE)</f>
        <v>250</v>
      </c>
      <c r="H33">
        <v>26</v>
      </c>
    </row>
    <row r="34" spans="1:8" x14ac:dyDescent="0.25">
      <c r="A34" s="1">
        <v>38</v>
      </c>
      <c r="B34" t="s">
        <v>48</v>
      </c>
      <c r="C34" t="s">
        <v>82</v>
      </c>
      <c r="D34" t="str">
        <f>VLOOKUP(C34,Players!B:H,7,FALSE)</f>
        <v>Pitcher</v>
      </c>
      <c r="F34">
        <v>75</v>
      </c>
      <c r="G34">
        <f>VLOOKUP(C34,Players!B:D,3,FALSE)</f>
        <v>220</v>
      </c>
      <c r="H34">
        <v>28</v>
      </c>
    </row>
    <row r="35" spans="1:8" x14ac:dyDescent="0.25">
      <c r="A35" s="1">
        <v>40</v>
      </c>
      <c r="B35" t="s">
        <v>48</v>
      </c>
      <c r="C35" t="s">
        <v>62</v>
      </c>
      <c r="D35" t="str">
        <f>VLOOKUP(C35,Players!B:H,7,FALSE)</f>
        <v>Pitcher</v>
      </c>
      <c r="E35">
        <v>15000000</v>
      </c>
      <c r="F35">
        <v>74</v>
      </c>
      <c r="G35">
        <f>VLOOKUP(C35,Players!B:D,3,FALSE)</f>
        <v>195</v>
      </c>
      <c r="H35">
        <v>42</v>
      </c>
    </row>
    <row r="36" spans="1:8" x14ac:dyDescent="0.25">
      <c r="A36" s="1">
        <v>2</v>
      </c>
      <c r="B36" t="s">
        <v>29</v>
      </c>
      <c r="C36" t="s">
        <v>69</v>
      </c>
      <c r="D36" t="str">
        <f>VLOOKUP(C36,Players!B:H,7,FALSE)</f>
        <v>Infielder</v>
      </c>
      <c r="E36">
        <v>22500000</v>
      </c>
      <c r="F36">
        <v>75</v>
      </c>
      <c r="G36">
        <f>VLOOKUP(C36,Players!B:D,3,FALSE)</f>
        <v>215</v>
      </c>
      <c r="H36">
        <v>32</v>
      </c>
    </row>
    <row r="37" spans="1:8" x14ac:dyDescent="0.25">
      <c r="A37" s="1">
        <v>22</v>
      </c>
      <c r="B37" t="s">
        <v>37</v>
      </c>
      <c r="C37" t="s">
        <v>46</v>
      </c>
      <c r="D37" t="str">
        <f>VLOOKUP(C37,Players!B:H,7,FALSE)</f>
        <v>Pitcher</v>
      </c>
      <c r="F37">
        <v>73</v>
      </c>
      <c r="G37">
        <f>VLOOKUP(C37,Players!B:D,3,FALSE)</f>
        <v>190</v>
      </c>
      <c r="H37">
        <v>25</v>
      </c>
    </row>
    <row r="38" spans="1:8" x14ac:dyDescent="0.25">
      <c r="A38" s="1">
        <v>8</v>
      </c>
      <c r="B38" t="s">
        <v>35</v>
      </c>
      <c r="C38" t="s">
        <v>73</v>
      </c>
      <c r="D38" t="str">
        <f>VLOOKUP(C38,Players!B:H,7,FALSE)</f>
        <v>Outfielder</v>
      </c>
      <c r="E38">
        <v>10250000</v>
      </c>
      <c r="F38">
        <v>71</v>
      </c>
      <c r="G38">
        <f>VLOOKUP(C38,Players!B:D,3,FALSE)</f>
        <v>200</v>
      </c>
      <c r="H38">
        <v>31</v>
      </c>
    </row>
    <row r="39" spans="1:8" x14ac:dyDescent="0.25">
      <c r="A39" s="1">
        <v>27</v>
      </c>
      <c r="B39" t="s">
        <v>48</v>
      </c>
      <c r="C39" t="s">
        <v>50</v>
      </c>
      <c r="D39" t="str">
        <f>VLOOKUP(C39,Players!B:H,7,FALSE)</f>
        <v>Pitcher</v>
      </c>
      <c r="E39">
        <v>3200000</v>
      </c>
      <c r="F39">
        <v>77</v>
      </c>
      <c r="G39">
        <f>VLOOKUP(C39,Players!B:D,3,FALSE)</f>
        <v>240</v>
      </c>
      <c r="H39">
        <v>26</v>
      </c>
    </row>
    <row r="40" spans="1:8" x14ac:dyDescent="0.25">
      <c r="A40" s="1">
        <v>43</v>
      </c>
      <c r="B40" t="s">
        <v>48</v>
      </c>
      <c r="C40" t="s">
        <v>65</v>
      </c>
      <c r="D40" t="str">
        <f>VLOOKUP(C40,Players!B:H,7,FALSE)</f>
        <v>Pitcher</v>
      </c>
      <c r="E40">
        <v>11000000</v>
      </c>
      <c r="F40">
        <v>73</v>
      </c>
      <c r="G40">
        <f>VLOOKUP(C40,Players!B:D,3,FALSE)</f>
        <v>210</v>
      </c>
      <c r="H40">
        <v>32</v>
      </c>
    </row>
    <row r="41" spans="1:8" x14ac:dyDescent="0.25">
      <c r="A41" s="1">
        <v>20</v>
      </c>
      <c r="B41" t="s">
        <v>37</v>
      </c>
      <c r="C41" t="s">
        <v>79</v>
      </c>
      <c r="D41" t="str">
        <f>VLOOKUP(C41,Players!B:H,7,FALSE)</f>
        <v>Infielder</v>
      </c>
      <c r="F41">
        <v>71</v>
      </c>
      <c r="G41">
        <f>VLOOKUP(C41,Players!B:D,3,FALSE)</f>
        <v>185</v>
      </c>
      <c r="H41">
        <v>26</v>
      </c>
    </row>
    <row r="42" spans="1:8" x14ac:dyDescent="0.25">
      <c r="A42" s="1">
        <v>6</v>
      </c>
      <c r="B42" t="s">
        <v>33</v>
      </c>
      <c r="C42" t="s">
        <v>71</v>
      </c>
      <c r="D42" t="str">
        <f>VLOOKUP(C42,Players!B:H,7,FALSE)</f>
        <v>Outfielder</v>
      </c>
      <c r="E42">
        <v>1100000</v>
      </c>
      <c r="F42">
        <v>74</v>
      </c>
      <c r="G42">
        <f>VLOOKUP(C42,Players!B:D,3,FALSE)</f>
        <v>225</v>
      </c>
      <c r="H42">
        <v>40</v>
      </c>
    </row>
    <row r="43" spans="1:8" x14ac:dyDescent="0.25">
      <c r="A43" s="1">
        <v>3</v>
      </c>
      <c r="B43" t="s">
        <v>8</v>
      </c>
      <c r="C43" t="s">
        <v>70</v>
      </c>
      <c r="D43" t="str">
        <f>VLOOKUP(C43,Players!B:H,7,FALSE)</f>
        <v>Infielder</v>
      </c>
      <c r="E43">
        <v>14000000</v>
      </c>
      <c r="F43">
        <v>72</v>
      </c>
      <c r="G43">
        <f>VLOOKUP(C43,Players!B:D,3,FALSE)</f>
        <v>210</v>
      </c>
      <c r="H43">
        <v>29</v>
      </c>
    </row>
    <row r="44" spans="1:8" x14ac:dyDescent="0.25">
      <c r="A44" s="1">
        <v>1</v>
      </c>
      <c r="B44" t="s">
        <v>27</v>
      </c>
      <c r="C44" t="s">
        <v>28</v>
      </c>
      <c r="D44" t="str">
        <f>VLOOKUP(C44,Players!B:H,7,FALSE)</f>
        <v>Catcher</v>
      </c>
      <c r="E44">
        <v>7500000</v>
      </c>
      <c r="F44">
        <v>70</v>
      </c>
      <c r="G44">
        <f>VLOOKUP(C44,Players!B:D,3,FALSE)</f>
        <v>205</v>
      </c>
      <c r="H44">
        <v>29</v>
      </c>
    </row>
    <row r="45" spans="1:8" x14ac:dyDescent="0.25">
      <c r="A45" s="1">
        <v>39</v>
      </c>
      <c r="B45" t="s">
        <v>48</v>
      </c>
      <c r="C45" t="s">
        <v>61</v>
      </c>
      <c r="D45" t="str">
        <f>VLOOKUP(C45,Players!B:H,7,FALSE)</f>
        <v>Pitcher</v>
      </c>
      <c r="F45">
        <v>71</v>
      </c>
      <c r="G45">
        <f>VLOOKUP(C45,Players!B:D,3,FALSE)</f>
        <v>200</v>
      </c>
      <c r="H45">
        <v>33</v>
      </c>
    </row>
    <row r="46" spans="1:8" x14ac:dyDescent="0.25">
      <c r="A46" s="1">
        <v>18</v>
      </c>
      <c r="B46" t="s">
        <v>37</v>
      </c>
      <c r="C46" t="s">
        <v>44</v>
      </c>
      <c r="D46" t="str">
        <f>VLOOKUP(C46,Players!B:H,7,FALSE)</f>
        <v>Infielder</v>
      </c>
      <c r="F46">
        <v>71</v>
      </c>
      <c r="G46">
        <f>VLOOKUP(C46,Players!B:D,3,FALSE)</f>
        <v>210</v>
      </c>
      <c r="H46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1"/>
  <sheetViews>
    <sheetView workbookViewId="0">
      <selection activeCell="F18" sqref="F18"/>
    </sheetView>
  </sheetViews>
  <sheetFormatPr defaultRowHeight="15" x14ac:dyDescent="0.25"/>
  <sheetData>
    <row r="1" spans="1:4" x14ac:dyDescent="0.25">
      <c r="A1" s="1" t="s">
        <v>84</v>
      </c>
      <c r="B1" s="1" t="s">
        <v>116</v>
      </c>
      <c r="C1" t="s">
        <v>115</v>
      </c>
      <c r="D1" t="s">
        <v>83</v>
      </c>
    </row>
    <row r="2" spans="1:4" hidden="1" x14ac:dyDescent="0.25">
      <c r="A2" s="1" t="s">
        <v>85</v>
      </c>
      <c r="B2" s="1" t="s">
        <v>117</v>
      </c>
      <c r="C2">
        <v>165</v>
      </c>
      <c r="D2">
        <v>172</v>
      </c>
    </row>
    <row r="3" spans="1:4" hidden="1" x14ac:dyDescent="0.25">
      <c r="A3" s="1" t="s">
        <v>86</v>
      </c>
      <c r="B3" s="1" t="s">
        <v>117</v>
      </c>
      <c r="C3">
        <v>149</v>
      </c>
      <c r="D3">
        <v>173</v>
      </c>
    </row>
    <row r="4" spans="1:4" x14ac:dyDescent="0.25">
      <c r="A4" s="1" t="s">
        <v>87</v>
      </c>
      <c r="B4" s="1" t="s">
        <v>118</v>
      </c>
      <c r="C4">
        <v>214</v>
      </c>
      <c r="D4">
        <v>191</v>
      </c>
    </row>
    <row r="5" spans="1:4" x14ac:dyDescent="0.25">
      <c r="A5" s="1" t="s">
        <v>88</v>
      </c>
      <c r="B5" s="1" t="s">
        <v>118</v>
      </c>
      <c r="C5">
        <v>165</v>
      </c>
      <c r="D5">
        <v>203</v>
      </c>
    </row>
    <row r="6" spans="1:4" hidden="1" x14ac:dyDescent="0.25">
      <c r="A6" s="1" t="s">
        <v>89</v>
      </c>
      <c r="B6" s="1" t="s">
        <v>117</v>
      </c>
      <c r="C6">
        <v>137</v>
      </c>
      <c r="D6">
        <v>148</v>
      </c>
    </row>
    <row r="7" spans="1:4" x14ac:dyDescent="0.25">
      <c r="A7" s="1" t="s">
        <v>90</v>
      </c>
      <c r="B7" s="1" t="s">
        <v>118</v>
      </c>
      <c r="C7">
        <v>211</v>
      </c>
      <c r="D7">
        <v>154</v>
      </c>
    </row>
    <row r="8" spans="1:4" hidden="1" x14ac:dyDescent="0.25">
      <c r="A8" s="1" t="s">
        <v>91</v>
      </c>
      <c r="B8" s="1" t="s">
        <v>117</v>
      </c>
      <c r="C8">
        <v>172</v>
      </c>
      <c r="D8">
        <v>183</v>
      </c>
    </row>
    <row r="9" spans="1:4" x14ac:dyDescent="0.25">
      <c r="A9" s="1" t="s">
        <v>92</v>
      </c>
      <c r="B9" s="1" t="s">
        <v>118</v>
      </c>
      <c r="C9">
        <v>136</v>
      </c>
      <c r="D9">
        <v>154</v>
      </c>
    </row>
    <row r="10" spans="1:4" hidden="1" x14ac:dyDescent="0.25">
      <c r="A10" s="1" t="s">
        <v>93</v>
      </c>
      <c r="B10" s="1" t="s">
        <v>117</v>
      </c>
      <c r="C10">
        <v>166</v>
      </c>
      <c r="D10">
        <v>163</v>
      </c>
    </row>
    <row r="11" spans="1:4" x14ac:dyDescent="0.25">
      <c r="A11" s="1" t="s">
        <v>94</v>
      </c>
      <c r="B11" s="1" t="s">
        <v>118</v>
      </c>
      <c r="C11">
        <v>163</v>
      </c>
      <c r="D11">
        <v>169</v>
      </c>
    </row>
    <row r="12" spans="1:4" hidden="1" x14ac:dyDescent="0.25">
      <c r="A12" s="1" t="s">
        <v>95</v>
      </c>
      <c r="B12" s="1" t="s">
        <v>117</v>
      </c>
      <c r="C12">
        <v>146</v>
      </c>
      <c r="D12">
        <v>149</v>
      </c>
    </row>
    <row r="13" spans="1:4" x14ac:dyDescent="0.25">
      <c r="A13" s="1" t="s">
        <v>96</v>
      </c>
      <c r="B13" s="1" t="s">
        <v>118</v>
      </c>
      <c r="C13">
        <v>131</v>
      </c>
      <c r="D13">
        <v>95</v>
      </c>
    </row>
    <row r="14" spans="1:4" x14ac:dyDescent="0.25">
      <c r="A14" s="1" t="s">
        <v>97</v>
      </c>
      <c r="B14" s="1" t="s">
        <v>118</v>
      </c>
      <c r="C14">
        <v>187</v>
      </c>
      <c r="D14">
        <v>129</v>
      </c>
    </row>
    <row r="15" spans="1:4" hidden="1" x14ac:dyDescent="0.25">
      <c r="A15" s="1" t="s">
        <v>98</v>
      </c>
      <c r="B15" s="1" t="s">
        <v>117</v>
      </c>
      <c r="C15">
        <v>116</v>
      </c>
      <c r="D15">
        <v>155</v>
      </c>
    </row>
    <row r="16" spans="1:4" hidden="1" x14ac:dyDescent="0.25">
      <c r="A16" s="1" t="s">
        <v>99</v>
      </c>
      <c r="B16" s="1" t="s">
        <v>117</v>
      </c>
      <c r="C16">
        <v>137</v>
      </c>
      <c r="D16">
        <v>117</v>
      </c>
    </row>
    <row r="17" spans="1:4" hidden="1" x14ac:dyDescent="0.25">
      <c r="A17" s="1" t="s">
        <v>100</v>
      </c>
      <c r="B17" s="1" t="s">
        <v>117</v>
      </c>
      <c r="C17">
        <v>202</v>
      </c>
      <c r="D17">
        <v>185</v>
      </c>
    </row>
    <row r="18" spans="1:4" x14ac:dyDescent="0.25">
      <c r="A18" s="1" t="s">
        <v>101</v>
      </c>
      <c r="B18" s="1" t="s">
        <v>118</v>
      </c>
      <c r="C18">
        <v>131</v>
      </c>
      <c r="D18">
        <v>103</v>
      </c>
    </row>
    <row r="19" spans="1:4" hidden="1" x14ac:dyDescent="0.25">
      <c r="A19" s="1" t="s">
        <v>102</v>
      </c>
      <c r="B19" s="1" t="s">
        <v>117</v>
      </c>
      <c r="C19">
        <v>139</v>
      </c>
      <c r="D19">
        <v>108</v>
      </c>
    </row>
    <row r="20" spans="1:4" x14ac:dyDescent="0.25">
      <c r="A20" s="1" t="s">
        <v>103</v>
      </c>
      <c r="B20" s="1" t="s">
        <v>118</v>
      </c>
      <c r="C20">
        <v>245</v>
      </c>
      <c r="D20">
        <v>222</v>
      </c>
    </row>
    <row r="21" spans="1:4" x14ac:dyDescent="0.25">
      <c r="A21" s="1" t="s">
        <v>104</v>
      </c>
      <c r="B21" s="1" t="s">
        <v>118</v>
      </c>
      <c r="C21">
        <v>195</v>
      </c>
      <c r="D21">
        <v>114</v>
      </c>
    </row>
    <row r="22" spans="1:4" hidden="1" x14ac:dyDescent="0.25">
      <c r="A22" s="1" t="s">
        <v>105</v>
      </c>
      <c r="B22" s="1" t="s">
        <v>117</v>
      </c>
      <c r="C22">
        <v>158</v>
      </c>
      <c r="D22">
        <v>153</v>
      </c>
    </row>
    <row r="23" spans="1:4" hidden="1" x14ac:dyDescent="0.25">
      <c r="A23" s="1" t="s">
        <v>106</v>
      </c>
      <c r="B23" s="1" t="s">
        <v>117</v>
      </c>
      <c r="C23">
        <v>170</v>
      </c>
      <c r="D23">
        <v>107</v>
      </c>
    </row>
    <row r="24" spans="1:4" hidden="1" x14ac:dyDescent="0.25">
      <c r="A24" s="1" t="s">
        <v>107</v>
      </c>
      <c r="B24" s="1" t="s">
        <v>117</v>
      </c>
      <c r="C24">
        <v>121</v>
      </c>
      <c r="D24">
        <v>91</v>
      </c>
    </row>
    <row r="25" spans="1:4" x14ac:dyDescent="0.25">
      <c r="A25" s="1" t="s">
        <v>108</v>
      </c>
      <c r="B25" s="1" t="s">
        <v>118</v>
      </c>
      <c r="C25">
        <v>149</v>
      </c>
      <c r="D25">
        <v>109</v>
      </c>
    </row>
    <row r="26" spans="1:4" hidden="1" x14ac:dyDescent="0.25">
      <c r="A26" s="1" t="s">
        <v>109</v>
      </c>
      <c r="B26" s="1" t="s">
        <v>117</v>
      </c>
      <c r="C26">
        <v>103</v>
      </c>
      <c r="D26">
        <v>121</v>
      </c>
    </row>
    <row r="27" spans="1:4" hidden="1" x14ac:dyDescent="0.25">
      <c r="A27" s="1" t="s">
        <v>110</v>
      </c>
      <c r="B27" s="1" t="s">
        <v>117</v>
      </c>
      <c r="C27">
        <v>159</v>
      </c>
      <c r="D27">
        <v>162</v>
      </c>
    </row>
    <row r="28" spans="1:4" x14ac:dyDescent="0.25">
      <c r="A28" s="1" t="s">
        <v>111</v>
      </c>
      <c r="B28" s="1" t="s">
        <v>118</v>
      </c>
      <c r="C28">
        <v>175</v>
      </c>
      <c r="D28">
        <v>172</v>
      </c>
    </row>
    <row r="29" spans="1:4" x14ac:dyDescent="0.25">
      <c r="A29" s="1" t="s">
        <v>112</v>
      </c>
      <c r="B29" s="1" t="s">
        <v>118</v>
      </c>
      <c r="C29">
        <v>200</v>
      </c>
      <c r="D29">
        <v>210</v>
      </c>
    </row>
    <row r="30" spans="1:4" x14ac:dyDescent="0.25">
      <c r="A30" s="1" t="s">
        <v>113</v>
      </c>
      <c r="B30" s="1" t="s">
        <v>118</v>
      </c>
      <c r="C30">
        <v>198</v>
      </c>
      <c r="D30">
        <v>186</v>
      </c>
    </row>
    <row r="31" spans="1:4" hidden="1" x14ac:dyDescent="0.25">
      <c r="A31" s="1" t="s">
        <v>114</v>
      </c>
      <c r="B31" s="1" t="s">
        <v>117</v>
      </c>
      <c r="C31">
        <v>194</v>
      </c>
      <c r="D31">
        <v>154</v>
      </c>
    </row>
  </sheetData>
  <autoFilter ref="A1:D31">
    <filterColumn colId="1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L27" sqref="L27"/>
    </sheetView>
  </sheetViews>
  <sheetFormatPr defaultRowHeight="15" x14ac:dyDescent="0.25"/>
  <cols>
    <col min="2" max="2" width="23.28515625" customWidth="1"/>
  </cols>
  <sheetData>
    <row r="1" spans="1:5" x14ac:dyDescent="0.25">
      <c r="A1" s="1" t="s">
        <v>84</v>
      </c>
      <c r="B1" s="1" t="s">
        <v>135</v>
      </c>
      <c r="C1" s="1" t="s">
        <v>116</v>
      </c>
      <c r="D1" t="s">
        <v>115</v>
      </c>
      <c r="E1" t="s">
        <v>83</v>
      </c>
    </row>
    <row r="2" spans="1:5" x14ac:dyDescent="0.25">
      <c r="A2" s="1" t="s">
        <v>87</v>
      </c>
      <c r="B2" s="1" t="s">
        <v>136</v>
      </c>
      <c r="C2" s="1" t="s">
        <v>118</v>
      </c>
      <c r="D2">
        <v>214</v>
      </c>
      <c r="E2">
        <v>191</v>
      </c>
    </row>
    <row r="3" spans="1:5" x14ac:dyDescent="0.25">
      <c r="A3" s="1" t="s">
        <v>88</v>
      </c>
      <c r="B3" s="1" t="s">
        <v>137</v>
      </c>
      <c r="C3" s="1" t="s">
        <v>118</v>
      </c>
      <c r="D3">
        <v>165</v>
      </c>
      <c r="E3">
        <v>203</v>
      </c>
    </row>
    <row r="4" spans="1:5" x14ac:dyDescent="0.25">
      <c r="A4" s="1" t="s">
        <v>90</v>
      </c>
      <c r="B4" s="1" t="s">
        <v>138</v>
      </c>
      <c r="C4" s="1" t="s">
        <v>118</v>
      </c>
      <c r="D4">
        <v>211</v>
      </c>
      <c r="E4">
        <v>154</v>
      </c>
    </row>
    <row r="5" spans="1:5" x14ac:dyDescent="0.25">
      <c r="A5" s="1" t="s">
        <v>92</v>
      </c>
      <c r="B5" s="1" t="s">
        <v>139</v>
      </c>
      <c r="C5" s="1" t="s">
        <v>118</v>
      </c>
      <c r="D5">
        <v>136</v>
      </c>
      <c r="E5">
        <v>154</v>
      </c>
    </row>
    <row r="6" spans="1:5" x14ac:dyDescent="0.25">
      <c r="A6" s="1" t="s">
        <v>94</v>
      </c>
      <c r="B6" s="1" t="s">
        <v>140</v>
      </c>
      <c r="C6" s="1" t="s">
        <v>118</v>
      </c>
      <c r="D6">
        <v>163</v>
      </c>
      <c r="E6">
        <v>169</v>
      </c>
    </row>
    <row r="7" spans="1:5" x14ac:dyDescent="0.25">
      <c r="A7" s="1" t="s">
        <v>96</v>
      </c>
      <c r="B7" s="1" t="s">
        <v>141</v>
      </c>
      <c r="C7" s="1" t="s">
        <v>118</v>
      </c>
      <c r="D7">
        <v>131</v>
      </c>
      <c r="E7">
        <v>95</v>
      </c>
    </row>
    <row r="8" spans="1:5" x14ac:dyDescent="0.25">
      <c r="A8" s="1" t="s">
        <v>97</v>
      </c>
      <c r="B8" s="1" t="s">
        <v>142</v>
      </c>
      <c r="C8" s="1" t="s">
        <v>118</v>
      </c>
      <c r="D8">
        <v>187</v>
      </c>
      <c r="E8">
        <v>129</v>
      </c>
    </row>
    <row r="9" spans="1:5" x14ac:dyDescent="0.25">
      <c r="A9" s="1" t="s">
        <v>101</v>
      </c>
      <c r="B9" s="1" t="s">
        <v>143</v>
      </c>
      <c r="C9" s="1" t="s">
        <v>118</v>
      </c>
      <c r="D9">
        <v>131</v>
      </c>
      <c r="E9">
        <v>103</v>
      </c>
    </row>
    <row r="10" spans="1:5" x14ac:dyDescent="0.25">
      <c r="A10" s="1" t="s">
        <v>103</v>
      </c>
      <c r="B10" s="1" t="s">
        <v>144</v>
      </c>
      <c r="C10" s="1" t="s">
        <v>118</v>
      </c>
      <c r="D10">
        <v>245</v>
      </c>
      <c r="E10">
        <v>222</v>
      </c>
    </row>
    <row r="11" spans="1:5" x14ac:dyDescent="0.25">
      <c r="A11" s="1" t="s">
        <v>104</v>
      </c>
      <c r="B11" s="1" t="s">
        <v>145</v>
      </c>
      <c r="C11" s="1" t="s">
        <v>118</v>
      </c>
      <c r="D11">
        <v>195</v>
      </c>
      <c r="E11">
        <v>114</v>
      </c>
    </row>
    <row r="12" spans="1:5" x14ac:dyDescent="0.25">
      <c r="A12" s="1" t="s">
        <v>108</v>
      </c>
      <c r="B12" s="1" t="s">
        <v>146</v>
      </c>
      <c r="C12" s="1" t="s">
        <v>118</v>
      </c>
      <c r="D12">
        <v>149</v>
      </c>
      <c r="E12">
        <v>109</v>
      </c>
    </row>
    <row r="13" spans="1:5" x14ac:dyDescent="0.25">
      <c r="A13" s="1" t="s">
        <v>111</v>
      </c>
      <c r="B13" s="1" t="s">
        <v>147</v>
      </c>
      <c r="C13" s="1" t="s">
        <v>118</v>
      </c>
      <c r="D13">
        <v>175</v>
      </c>
      <c r="E13">
        <v>172</v>
      </c>
    </row>
    <row r="14" spans="1:5" x14ac:dyDescent="0.25">
      <c r="A14" s="1" t="s">
        <v>112</v>
      </c>
      <c r="B14" s="1" t="s">
        <v>148</v>
      </c>
      <c r="C14" s="1" t="s">
        <v>118</v>
      </c>
      <c r="D14">
        <v>200</v>
      </c>
      <c r="E14">
        <v>210</v>
      </c>
    </row>
    <row r="15" spans="1:5" x14ac:dyDescent="0.25">
      <c r="A15" s="1" t="s">
        <v>113</v>
      </c>
      <c r="B15" s="1" t="s">
        <v>149</v>
      </c>
      <c r="C15" s="1" t="s">
        <v>118</v>
      </c>
      <c r="D15">
        <v>198</v>
      </c>
      <c r="E15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L1" sqref="L1:L1048576"/>
    </sheetView>
  </sheetViews>
  <sheetFormatPr defaultRowHeight="15" x14ac:dyDescent="0.25"/>
  <cols>
    <col min="2" max="2" width="17" bestFit="1" customWidth="1"/>
    <col min="7" max="7" width="12.42578125" style="2" bestFit="1" customWidth="1"/>
    <col min="8" max="8" width="10.28515625" bestFit="1" customWidth="1"/>
  </cols>
  <sheetData>
    <row r="1" spans="1:12" x14ac:dyDescent="0.25">
      <c r="A1" t="s">
        <v>119</v>
      </c>
      <c r="B1" t="s">
        <v>68</v>
      </c>
      <c r="C1" t="s">
        <v>120</v>
      </c>
      <c r="D1" t="s">
        <v>121</v>
      </c>
      <c r="E1" t="s">
        <v>122</v>
      </c>
      <c r="F1" t="s">
        <v>123</v>
      </c>
      <c r="G1" s="2" t="s">
        <v>124</v>
      </c>
      <c r="H1" t="s">
        <v>132</v>
      </c>
      <c r="L1" t="s">
        <v>134</v>
      </c>
    </row>
    <row r="2" spans="1:12" x14ac:dyDescent="0.25">
      <c r="A2">
        <v>43</v>
      </c>
      <c r="B2" t="s">
        <v>67</v>
      </c>
      <c r="C2">
        <v>41427</v>
      </c>
      <c r="D2">
        <v>200</v>
      </c>
      <c r="E2" t="s">
        <v>125</v>
      </c>
      <c r="F2" t="s">
        <v>125</v>
      </c>
      <c r="G2" s="2">
        <v>32014</v>
      </c>
      <c r="H2" t="s">
        <v>128</v>
      </c>
      <c r="J2">
        <v>6</v>
      </c>
      <c r="K2">
        <v>2</v>
      </c>
      <c r="L2">
        <v>74</v>
      </c>
    </row>
    <row r="3" spans="1:12" x14ac:dyDescent="0.25">
      <c r="A3">
        <v>13</v>
      </c>
      <c r="B3" t="s">
        <v>32</v>
      </c>
      <c r="C3">
        <v>41428</v>
      </c>
      <c r="D3">
        <v>225</v>
      </c>
      <c r="E3" t="s">
        <v>125</v>
      </c>
      <c r="F3" t="s">
        <v>125</v>
      </c>
      <c r="G3" s="2">
        <v>27602</v>
      </c>
      <c r="H3" t="s">
        <v>130</v>
      </c>
      <c r="J3">
        <v>6</v>
      </c>
      <c r="K3">
        <v>3</v>
      </c>
      <c r="L3">
        <v>75</v>
      </c>
    </row>
    <row r="4" spans="1:12" x14ac:dyDescent="0.25">
      <c r="A4">
        <v>22</v>
      </c>
      <c r="B4" t="s">
        <v>38</v>
      </c>
      <c r="C4">
        <v>41426</v>
      </c>
      <c r="D4">
        <v>225</v>
      </c>
      <c r="E4" t="s">
        <v>125</v>
      </c>
      <c r="F4" t="s">
        <v>125</v>
      </c>
      <c r="G4" s="2">
        <v>28238</v>
      </c>
      <c r="H4" t="s">
        <v>131</v>
      </c>
      <c r="J4">
        <v>6</v>
      </c>
      <c r="K4">
        <v>1</v>
      </c>
      <c r="L4">
        <v>73</v>
      </c>
    </row>
    <row r="5" spans="1:12" x14ac:dyDescent="0.25">
      <c r="A5">
        <v>46</v>
      </c>
      <c r="B5" t="s">
        <v>80</v>
      </c>
      <c r="C5">
        <v>41430</v>
      </c>
      <c r="D5">
        <v>225</v>
      </c>
      <c r="E5" t="s">
        <v>126</v>
      </c>
      <c r="F5" t="s">
        <v>126</v>
      </c>
      <c r="G5" s="2">
        <v>26465</v>
      </c>
      <c r="H5" t="s">
        <v>128</v>
      </c>
      <c r="J5">
        <v>6</v>
      </c>
      <c r="K5">
        <v>5</v>
      </c>
      <c r="L5">
        <v>77</v>
      </c>
    </row>
    <row r="6" spans="1:12" x14ac:dyDescent="0.25">
      <c r="A6">
        <v>48</v>
      </c>
      <c r="B6" t="s">
        <v>56</v>
      </c>
      <c r="C6">
        <v>41430</v>
      </c>
      <c r="D6">
        <v>215</v>
      </c>
      <c r="E6" t="s">
        <v>126</v>
      </c>
      <c r="F6" t="s">
        <v>125</v>
      </c>
      <c r="G6" s="2">
        <v>30907</v>
      </c>
      <c r="H6" t="s">
        <v>128</v>
      </c>
      <c r="J6">
        <v>6</v>
      </c>
      <c r="K6">
        <v>5</v>
      </c>
      <c r="L6">
        <v>77</v>
      </c>
    </row>
    <row r="7" spans="1:12" x14ac:dyDescent="0.25">
      <c r="A7">
        <v>11</v>
      </c>
      <c r="B7" t="s">
        <v>77</v>
      </c>
      <c r="C7">
        <v>41404</v>
      </c>
      <c r="D7">
        <v>185</v>
      </c>
      <c r="E7" t="s">
        <v>126</v>
      </c>
      <c r="F7" t="s">
        <v>126</v>
      </c>
      <c r="G7" s="2">
        <v>30552</v>
      </c>
      <c r="H7" t="s">
        <v>131</v>
      </c>
      <c r="J7">
        <v>5</v>
      </c>
      <c r="K7">
        <v>10</v>
      </c>
      <c r="L7">
        <v>70</v>
      </c>
    </row>
    <row r="8" spans="1:12" x14ac:dyDescent="0.25">
      <c r="A8">
        <v>45</v>
      </c>
      <c r="B8" t="s">
        <v>43</v>
      </c>
      <c r="C8">
        <v>41426</v>
      </c>
      <c r="D8">
        <v>220</v>
      </c>
      <c r="E8" t="s">
        <v>125</v>
      </c>
      <c r="F8" t="s">
        <v>125</v>
      </c>
      <c r="G8" s="2">
        <v>30236</v>
      </c>
      <c r="H8" t="s">
        <v>130</v>
      </c>
      <c r="J8">
        <v>6</v>
      </c>
      <c r="K8">
        <v>1</v>
      </c>
      <c r="L8">
        <v>73</v>
      </c>
    </row>
    <row r="9" spans="1:12" x14ac:dyDescent="0.25">
      <c r="A9">
        <v>52</v>
      </c>
      <c r="B9" t="s">
        <v>81</v>
      </c>
      <c r="C9">
        <v>41432</v>
      </c>
      <c r="D9">
        <v>290</v>
      </c>
      <c r="E9" t="s">
        <v>126</v>
      </c>
      <c r="F9" t="s">
        <v>126</v>
      </c>
      <c r="G9" s="2">
        <v>29423</v>
      </c>
      <c r="H9" t="s">
        <v>128</v>
      </c>
      <c r="J9">
        <v>6</v>
      </c>
      <c r="K9">
        <v>7</v>
      </c>
      <c r="L9">
        <v>79</v>
      </c>
    </row>
    <row r="10" spans="1:12" x14ac:dyDescent="0.25">
      <c r="A10">
        <v>40</v>
      </c>
      <c r="B10" t="s">
        <v>58</v>
      </c>
      <c r="C10">
        <v>41430</v>
      </c>
      <c r="D10">
        <v>240</v>
      </c>
      <c r="E10" t="s">
        <v>125</v>
      </c>
      <c r="F10" t="s">
        <v>125</v>
      </c>
      <c r="G10" s="2">
        <v>28719</v>
      </c>
      <c r="H10" t="s">
        <v>128</v>
      </c>
      <c r="J10">
        <v>6</v>
      </c>
      <c r="K10">
        <v>5</v>
      </c>
      <c r="L10">
        <v>77</v>
      </c>
    </row>
    <row r="11" spans="1:12" x14ac:dyDescent="0.25">
      <c r="A11">
        <v>60</v>
      </c>
      <c r="B11" t="s">
        <v>78</v>
      </c>
      <c r="C11">
        <v>41428</v>
      </c>
      <c r="D11">
        <v>230</v>
      </c>
      <c r="E11" t="s">
        <v>126</v>
      </c>
      <c r="F11" t="s">
        <v>126</v>
      </c>
      <c r="G11" s="2">
        <v>30051</v>
      </c>
      <c r="H11" t="s">
        <v>131</v>
      </c>
      <c r="J11">
        <v>6</v>
      </c>
      <c r="K11">
        <v>3</v>
      </c>
      <c r="L11">
        <v>75</v>
      </c>
    </row>
    <row r="12" spans="1:12" x14ac:dyDescent="0.25">
      <c r="A12">
        <v>19</v>
      </c>
      <c r="B12" t="s">
        <v>41</v>
      </c>
      <c r="C12">
        <v>41429</v>
      </c>
      <c r="D12">
        <v>210</v>
      </c>
      <c r="E12" t="s">
        <v>125</v>
      </c>
      <c r="F12" t="s">
        <v>125</v>
      </c>
      <c r="G12" s="2">
        <v>30001</v>
      </c>
      <c r="H12" t="s">
        <v>129</v>
      </c>
      <c r="J12">
        <v>6</v>
      </c>
      <c r="K12">
        <v>4</v>
      </c>
      <c r="L12">
        <v>76</v>
      </c>
    </row>
    <row r="13" spans="1:12" x14ac:dyDescent="0.25">
      <c r="A13">
        <v>39</v>
      </c>
      <c r="B13" t="s">
        <v>54</v>
      </c>
      <c r="C13">
        <v>41430</v>
      </c>
      <c r="D13">
        <v>200</v>
      </c>
      <c r="E13" t="s">
        <v>126</v>
      </c>
      <c r="F13" t="s">
        <v>125</v>
      </c>
      <c r="G13" s="2">
        <v>29654</v>
      </c>
      <c r="H13" t="s">
        <v>128</v>
      </c>
      <c r="J13">
        <v>6</v>
      </c>
      <c r="K13">
        <v>5</v>
      </c>
      <c r="L13">
        <v>77</v>
      </c>
    </row>
    <row r="14" spans="1:12" x14ac:dyDescent="0.25">
      <c r="A14">
        <v>38</v>
      </c>
      <c r="B14" t="s">
        <v>63</v>
      </c>
      <c r="C14">
        <v>41430</v>
      </c>
      <c r="D14">
        <v>205</v>
      </c>
      <c r="E14" t="s">
        <v>125</v>
      </c>
      <c r="F14" t="s">
        <v>125</v>
      </c>
      <c r="G14" s="2">
        <v>31328</v>
      </c>
      <c r="H14" t="s">
        <v>128</v>
      </c>
      <c r="J14">
        <v>6</v>
      </c>
      <c r="K14">
        <v>5</v>
      </c>
      <c r="L14">
        <v>77</v>
      </c>
    </row>
    <row r="15" spans="1:12" x14ac:dyDescent="0.25">
      <c r="A15">
        <v>53</v>
      </c>
      <c r="B15" t="s">
        <v>64</v>
      </c>
      <c r="C15">
        <v>41427</v>
      </c>
      <c r="D15">
        <v>185</v>
      </c>
      <c r="E15" t="s">
        <v>125</v>
      </c>
      <c r="F15" t="s">
        <v>125</v>
      </c>
      <c r="G15" s="2">
        <v>30464</v>
      </c>
      <c r="H15" t="s">
        <v>128</v>
      </c>
      <c r="J15">
        <v>6</v>
      </c>
      <c r="K15">
        <v>2</v>
      </c>
      <c r="L15">
        <v>74</v>
      </c>
    </row>
    <row r="16" spans="1:12" x14ac:dyDescent="0.25">
      <c r="A16">
        <v>14</v>
      </c>
      <c r="B16" t="s">
        <v>72</v>
      </c>
      <c r="C16">
        <v>41426</v>
      </c>
      <c r="D16">
        <v>195</v>
      </c>
      <c r="E16" t="s">
        <v>125</v>
      </c>
      <c r="F16" t="s">
        <v>126</v>
      </c>
      <c r="G16" s="2">
        <v>29661</v>
      </c>
      <c r="H16" t="s">
        <v>131</v>
      </c>
      <c r="J16">
        <v>6</v>
      </c>
      <c r="K16">
        <v>1</v>
      </c>
      <c r="L16">
        <v>73</v>
      </c>
    </row>
    <row r="17" spans="1:12" x14ac:dyDescent="0.25">
      <c r="A17">
        <v>43</v>
      </c>
      <c r="B17" t="s">
        <v>57</v>
      </c>
      <c r="C17">
        <v>36678</v>
      </c>
      <c r="D17">
        <v>160</v>
      </c>
      <c r="E17" t="s">
        <v>125</v>
      </c>
      <c r="F17" t="s">
        <v>125</v>
      </c>
      <c r="G17" s="2">
        <v>31910</v>
      </c>
      <c r="H17" t="s">
        <v>128</v>
      </c>
      <c r="J17">
        <v>6</v>
      </c>
      <c r="K17">
        <v>0</v>
      </c>
      <c r="L17">
        <v>72</v>
      </c>
    </row>
    <row r="18" spans="1:12" x14ac:dyDescent="0.25">
      <c r="A18">
        <v>26</v>
      </c>
      <c r="B18" t="s">
        <v>45</v>
      </c>
      <c r="C18">
        <v>41405</v>
      </c>
      <c r="D18">
        <v>205</v>
      </c>
      <c r="E18" t="s">
        <v>125</v>
      </c>
      <c r="F18" t="s">
        <v>125</v>
      </c>
      <c r="G18" s="2">
        <v>28811</v>
      </c>
      <c r="H18" t="s">
        <v>131</v>
      </c>
      <c r="J18">
        <v>5</v>
      </c>
      <c r="K18">
        <v>11</v>
      </c>
      <c r="L18">
        <v>71</v>
      </c>
    </row>
    <row r="19" spans="1:12" x14ac:dyDescent="0.25">
      <c r="A19">
        <v>35</v>
      </c>
      <c r="B19" t="s">
        <v>53</v>
      </c>
      <c r="C19">
        <v>41430</v>
      </c>
      <c r="D19">
        <v>205</v>
      </c>
      <c r="E19" t="s">
        <v>125</v>
      </c>
      <c r="F19" t="s">
        <v>125</v>
      </c>
      <c r="G19" s="2">
        <v>29947</v>
      </c>
      <c r="H19" t="s">
        <v>128</v>
      </c>
      <c r="J19">
        <v>6</v>
      </c>
      <c r="K19">
        <v>5</v>
      </c>
      <c r="L19">
        <v>77</v>
      </c>
    </row>
    <row r="20" spans="1:12" x14ac:dyDescent="0.25">
      <c r="A20">
        <v>41</v>
      </c>
      <c r="B20" t="s">
        <v>60</v>
      </c>
      <c r="C20">
        <v>41427</v>
      </c>
      <c r="D20">
        <v>200</v>
      </c>
      <c r="E20" t="s">
        <v>125</v>
      </c>
      <c r="F20" t="s">
        <v>125</v>
      </c>
      <c r="G20" s="2">
        <v>31694</v>
      </c>
      <c r="H20" t="s">
        <v>128</v>
      </c>
      <c r="J20">
        <v>6</v>
      </c>
      <c r="K20">
        <v>2</v>
      </c>
      <c r="L20">
        <v>74</v>
      </c>
    </row>
    <row r="21" spans="1:12" x14ac:dyDescent="0.25">
      <c r="A21">
        <v>30</v>
      </c>
      <c r="B21" t="s">
        <v>66</v>
      </c>
      <c r="C21">
        <v>41405</v>
      </c>
      <c r="D21">
        <v>195</v>
      </c>
      <c r="E21" t="s">
        <v>125</v>
      </c>
      <c r="F21" t="s">
        <v>125</v>
      </c>
      <c r="G21" s="2">
        <v>31146</v>
      </c>
      <c r="H21" t="s">
        <v>128</v>
      </c>
      <c r="J21">
        <v>5</v>
      </c>
      <c r="K21">
        <v>11</v>
      </c>
      <c r="L21">
        <v>71</v>
      </c>
    </row>
    <row r="22" spans="1:12" x14ac:dyDescent="0.25">
      <c r="A22">
        <v>2</v>
      </c>
      <c r="B22" t="s">
        <v>31</v>
      </c>
      <c r="C22">
        <v>41428</v>
      </c>
      <c r="D22">
        <v>195</v>
      </c>
      <c r="E22" t="s">
        <v>125</v>
      </c>
      <c r="F22" t="s">
        <v>125</v>
      </c>
      <c r="G22" s="2">
        <v>27206</v>
      </c>
      <c r="H22" t="s">
        <v>130</v>
      </c>
      <c r="J22">
        <v>6</v>
      </c>
      <c r="K22">
        <v>3</v>
      </c>
      <c r="L22">
        <v>75</v>
      </c>
    </row>
    <row r="23" spans="1:12" x14ac:dyDescent="0.25">
      <c r="A23">
        <v>34</v>
      </c>
      <c r="B23" t="s">
        <v>59</v>
      </c>
      <c r="C23">
        <v>41431</v>
      </c>
      <c r="D23">
        <v>230</v>
      </c>
      <c r="E23" t="s">
        <v>125</v>
      </c>
      <c r="F23" t="s">
        <v>125</v>
      </c>
      <c r="G23" s="2">
        <v>26816</v>
      </c>
      <c r="H23" t="s">
        <v>128</v>
      </c>
      <c r="J23">
        <v>6</v>
      </c>
      <c r="K23">
        <v>6</v>
      </c>
      <c r="L23">
        <v>78</v>
      </c>
    </row>
    <row r="24" spans="1:12" x14ac:dyDescent="0.25">
      <c r="A24">
        <v>45</v>
      </c>
      <c r="B24" t="s">
        <v>76</v>
      </c>
      <c r="C24">
        <v>36678</v>
      </c>
      <c r="D24">
        <v>200</v>
      </c>
      <c r="E24" t="s">
        <v>126</v>
      </c>
      <c r="F24" t="s">
        <v>126</v>
      </c>
      <c r="G24" s="2">
        <v>28545</v>
      </c>
      <c r="H24" t="s">
        <v>131</v>
      </c>
      <c r="J24">
        <v>6</v>
      </c>
      <c r="K24">
        <v>0</v>
      </c>
      <c r="L24">
        <v>72</v>
      </c>
    </row>
    <row r="25" spans="1:12" x14ac:dyDescent="0.25">
      <c r="A25">
        <v>26</v>
      </c>
      <c r="B25" t="s">
        <v>42</v>
      </c>
      <c r="C25">
        <v>36678</v>
      </c>
      <c r="D25">
        <v>185</v>
      </c>
      <c r="E25" t="s">
        <v>125</v>
      </c>
      <c r="F25" t="s">
        <v>125</v>
      </c>
      <c r="G25" s="2">
        <v>31943</v>
      </c>
      <c r="H25" t="s">
        <v>130</v>
      </c>
      <c r="J25">
        <v>6</v>
      </c>
      <c r="K25">
        <v>0</v>
      </c>
      <c r="L25">
        <v>72</v>
      </c>
    </row>
    <row r="26" spans="1:12" x14ac:dyDescent="0.25">
      <c r="A26">
        <v>12</v>
      </c>
      <c r="B26" t="s">
        <v>74</v>
      </c>
      <c r="C26">
        <v>41426</v>
      </c>
      <c r="D26">
        <v>215</v>
      </c>
      <c r="E26" t="s">
        <v>125</v>
      </c>
      <c r="F26" t="s">
        <v>126</v>
      </c>
      <c r="G26" s="2">
        <v>28466</v>
      </c>
      <c r="H26" t="s">
        <v>130</v>
      </c>
      <c r="J26">
        <v>6</v>
      </c>
      <c r="K26">
        <v>1</v>
      </c>
      <c r="L26">
        <v>73</v>
      </c>
    </row>
    <row r="27" spans="1:12" x14ac:dyDescent="0.25">
      <c r="A27">
        <v>40</v>
      </c>
      <c r="B27" t="s">
        <v>47</v>
      </c>
      <c r="C27">
        <v>41426</v>
      </c>
      <c r="D27">
        <v>205</v>
      </c>
      <c r="E27" t="s">
        <v>125</v>
      </c>
      <c r="F27" t="s">
        <v>125</v>
      </c>
      <c r="G27" s="2">
        <v>31477</v>
      </c>
      <c r="H27" t="s">
        <v>129</v>
      </c>
      <c r="J27">
        <v>6</v>
      </c>
      <c r="K27">
        <v>1</v>
      </c>
      <c r="L27">
        <v>73</v>
      </c>
    </row>
    <row r="28" spans="1:12" x14ac:dyDescent="0.25">
      <c r="A28">
        <v>36</v>
      </c>
      <c r="B28" t="s">
        <v>52</v>
      </c>
      <c r="C28">
        <v>41429</v>
      </c>
      <c r="D28">
        <v>255</v>
      </c>
      <c r="E28" t="s">
        <v>125</v>
      </c>
      <c r="F28" t="s">
        <v>125</v>
      </c>
      <c r="G28" s="2">
        <v>28039</v>
      </c>
      <c r="H28" t="s">
        <v>128</v>
      </c>
      <c r="J28">
        <v>6</v>
      </c>
      <c r="K28">
        <v>4</v>
      </c>
      <c r="L28">
        <v>76</v>
      </c>
    </row>
    <row r="29" spans="1:12" x14ac:dyDescent="0.25">
      <c r="A29">
        <v>18</v>
      </c>
      <c r="B29" t="s">
        <v>51</v>
      </c>
      <c r="C29">
        <v>41426</v>
      </c>
      <c r="D29">
        <v>205</v>
      </c>
      <c r="E29" t="s">
        <v>125</v>
      </c>
      <c r="F29" t="s">
        <v>125</v>
      </c>
      <c r="G29" s="2">
        <v>27435</v>
      </c>
      <c r="H29" t="s">
        <v>128</v>
      </c>
      <c r="J29">
        <v>6</v>
      </c>
      <c r="K29">
        <v>1</v>
      </c>
      <c r="L29">
        <v>73</v>
      </c>
    </row>
    <row r="30" spans="1:12" x14ac:dyDescent="0.25">
      <c r="A30">
        <v>31</v>
      </c>
      <c r="B30" t="s">
        <v>75</v>
      </c>
      <c r="C30">
        <v>41405</v>
      </c>
      <c r="D30">
        <v>170</v>
      </c>
      <c r="E30" t="s">
        <v>125</v>
      </c>
      <c r="F30" t="s">
        <v>126</v>
      </c>
      <c r="G30" s="2">
        <v>26959</v>
      </c>
      <c r="H30" t="s">
        <v>131</v>
      </c>
      <c r="J30">
        <v>5</v>
      </c>
      <c r="K30">
        <v>11</v>
      </c>
      <c r="L30">
        <v>71</v>
      </c>
    </row>
    <row r="31" spans="1:12" x14ac:dyDescent="0.25">
      <c r="A31">
        <v>47</v>
      </c>
      <c r="B31" t="s">
        <v>49</v>
      </c>
      <c r="C31">
        <v>41429</v>
      </c>
      <c r="D31">
        <v>225</v>
      </c>
      <c r="E31" t="s">
        <v>125</v>
      </c>
      <c r="F31" t="s">
        <v>125</v>
      </c>
      <c r="G31" s="2">
        <v>31789</v>
      </c>
      <c r="H31" t="s">
        <v>128</v>
      </c>
      <c r="J31">
        <v>6</v>
      </c>
      <c r="K31">
        <v>4</v>
      </c>
      <c r="L31">
        <v>76</v>
      </c>
    </row>
    <row r="32" spans="1:12" x14ac:dyDescent="0.25">
      <c r="A32">
        <v>17</v>
      </c>
      <c r="B32" t="s">
        <v>40</v>
      </c>
      <c r="C32">
        <v>41405</v>
      </c>
      <c r="D32">
        <v>195</v>
      </c>
      <c r="E32" t="s">
        <v>125</v>
      </c>
      <c r="F32" t="s">
        <v>125</v>
      </c>
      <c r="G32" s="2">
        <v>30189</v>
      </c>
      <c r="H32" t="s">
        <v>130</v>
      </c>
      <c r="J32">
        <v>5</v>
      </c>
      <c r="K32">
        <v>11</v>
      </c>
      <c r="L32">
        <v>71</v>
      </c>
    </row>
    <row r="33" spans="1:12" x14ac:dyDescent="0.25">
      <c r="A33">
        <v>62</v>
      </c>
      <c r="B33" t="s">
        <v>55</v>
      </c>
      <c r="C33">
        <v>41427</v>
      </c>
      <c r="D33">
        <v>250</v>
      </c>
      <c r="E33" t="s">
        <v>125</v>
      </c>
      <c r="F33" t="s">
        <v>125</v>
      </c>
      <c r="G33" s="2">
        <v>31313</v>
      </c>
      <c r="H33" t="s">
        <v>128</v>
      </c>
      <c r="J33">
        <v>6</v>
      </c>
      <c r="K33">
        <v>2</v>
      </c>
      <c r="L33">
        <v>74</v>
      </c>
    </row>
    <row r="34" spans="1:12" x14ac:dyDescent="0.25">
      <c r="A34">
        <v>63</v>
      </c>
      <c r="B34" t="s">
        <v>82</v>
      </c>
      <c r="C34">
        <v>41428</v>
      </c>
      <c r="D34">
        <v>220</v>
      </c>
      <c r="E34" t="s">
        <v>126</v>
      </c>
      <c r="F34" t="s">
        <v>126</v>
      </c>
      <c r="G34" s="2">
        <v>30699</v>
      </c>
      <c r="H34" t="s">
        <v>128</v>
      </c>
      <c r="J34">
        <v>6</v>
      </c>
      <c r="K34">
        <v>3</v>
      </c>
      <c r="L34">
        <v>75</v>
      </c>
    </row>
    <row r="35" spans="1:12" x14ac:dyDescent="0.25">
      <c r="A35">
        <v>42</v>
      </c>
      <c r="B35" t="s">
        <v>62</v>
      </c>
      <c r="C35">
        <v>41427</v>
      </c>
      <c r="D35">
        <v>195</v>
      </c>
      <c r="E35" t="s">
        <v>125</v>
      </c>
      <c r="F35" t="s">
        <v>125</v>
      </c>
      <c r="G35" s="2">
        <v>25536</v>
      </c>
      <c r="H35" t="s">
        <v>128</v>
      </c>
      <c r="J35">
        <v>6</v>
      </c>
      <c r="K35">
        <v>2</v>
      </c>
      <c r="L35">
        <v>74</v>
      </c>
    </row>
    <row r="36" spans="1:12" x14ac:dyDescent="0.25">
      <c r="A36">
        <v>25</v>
      </c>
      <c r="B36" t="s">
        <v>69</v>
      </c>
      <c r="C36">
        <v>41428</v>
      </c>
      <c r="D36">
        <v>215</v>
      </c>
      <c r="E36" t="s">
        <v>125</v>
      </c>
      <c r="F36" t="s">
        <v>127</v>
      </c>
      <c r="G36" s="2">
        <v>29322</v>
      </c>
      <c r="H36" t="s">
        <v>130</v>
      </c>
      <c r="J36">
        <v>6</v>
      </c>
      <c r="K36">
        <v>3</v>
      </c>
      <c r="L36">
        <v>75</v>
      </c>
    </row>
    <row r="37" spans="1:12" x14ac:dyDescent="0.25">
      <c r="A37">
        <v>67</v>
      </c>
      <c r="B37" t="s">
        <v>46</v>
      </c>
      <c r="C37">
        <v>41426</v>
      </c>
      <c r="D37">
        <v>190</v>
      </c>
      <c r="E37" t="s">
        <v>125</v>
      </c>
      <c r="F37" t="s">
        <v>125</v>
      </c>
      <c r="G37" s="2">
        <v>31808</v>
      </c>
      <c r="H37" t="s">
        <v>128</v>
      </c>
      <c r="J37">
        <v>6</v>
      </c>
      <c r="K37">
        <v>1</v>
      </c>
      <c r="L37">
        <v>73</v>
      </c>
    </row>
    <row r="38" spans="1:12" x14ac:dyDescent="0.25">
      <c r="A38">
        <v>33</v>
      </c>
      <c r="B38" t="s">
        <v>73</v>
      </c>
      <c r="C38">
        <v>41405</v>
      </c>
      <c r="D38">
        <v>200</v>
      </c>
      <c r="E38" t="s">
        <v>126</v>
      </c>
      <c r="F38" t="s">
        <v>127</v>
      </c>
      <c r="G38" s="2">
        <v>29550</v>
      </c>
      <c r="H38" t="s">
        <v>131</v>
      </c>
      <c r="J38">
        <v>5</v>
      </c>
      <c r="K38">
        <v>11</v>
      </c>
      <c r="L38">
        <v>71</v>
      </c>
    </row>
    <row r="39" spans="1:12" x14ac:dyDescent="0.25">
      <c r="A39">
        <v>65</v>
      </c>
      <c r="B39" t="s">
        <v>50</v>
      </c>
      <c r="C39">
        <v>41430</v>
      </c>
      <c r="D39">
        <v>240</v>
      </c>
      <c r="E39" t="s">
        <v>125</v>
      </c>
      <c r="F39" t="s">
        <v>125</v>
      </c>
      <c r="G39" s="2">
        <v>31587</v>
      </c>
      <c r="H39" t="s">
        <v>128</v>
      </c>
      <c r="J39">
        <v>6</v>
      </c>
      <c r="K39">
        <v>5</v>
      </c>
      <c r="L39">
        <v>77</v>
      </c>
    </row>
    <row r="40" spans="1:12" x14ac:dyDescent="0.25">
      <c r="A40">
        <v>29</v>
      </c>
      <c r="B40" t="s">
        <v>65</v>
      </c>
      <c r="C40">
        <v>41426</v>
      </c>
      <c r="D40">
        <v>210</v>
      </c>
      <c r="E40" t="s">
        <v>125</v>
      </c>
      <c r="F40" t="s">
        <v>125</v>
      </c>
      <c r="G40" s="2">
        <v>29208</v>
      </c>
      <c r="H40" t="s">
        <v>128</v>
      </c>
      <c r="J40">
        <v>6</v>
      </c>
      <c r="K40">
        <v>1</v>
      </c>
      <c r="L40">
        <v>73</v>
      </c>
    </row>
    <row r="41" spans="1:12" x14ac:dyDescent="0.25">
      <c r="A41">
        <v>26</v>
      </c>
      <c r="B41" t="s">
        <v>79</v>
      </c>
      <c r="C41">
        <v>41405</v>
      </c>
      <c r="D41">
        <v>185</v>
      </c>
      <c r="E41" t="s">
        <v>125</v>
      </c>
      <c r="F41" t="s">
        <v>127</v>
      </c>
      <c r="G41" s="2">
        <v>31246</v>
      </c>
      <c r="H41" t="s">
        <v>130</v>
      </c>
      <c r="J41">
        <v>5</v>
      </c>
      <c r="K41">
        <v>11</v>
      </c>
      <c r="L41">
        <v>71</v>
      </c>
    </row>
    <row r="42" spans="1:12" x14ac:dyDescent="0.25">
      <c r="A42">
        <v>27</v>
      </c>
      <c r="B42" t="s">
        <v>71</v>
      </c>
      <c r="C42">
        <v>41427</v>
      </c>
      <c r="D42">
        <v>225</v>
      </c>
      <c r="E42" t="s">
        <v>125</v>
      </c>
      <c r="F42" t="s">
        <v>126</v>
      </c>
      <c r="G42" s="2">
        <v>26452</v>
      </c>
      <c r="H42" t="s">
        <v>131</v>
      </c>
      <c r="J42">
        <v>6</v>
      </c>
      <c r="K42">
        <v>2</v>
      </c>
      <c r="L42">
        <v>74</v>
      </c>
    </row>
    <row r="43" spans="1:12" x14ac:dyDescent="0.25">
      <c r="A43">
        <v>24</v>
      </c>
      <c r="B43" t="s">
        <v>70</v>
      </c>
      <c r="C43">
        <v>36678</v>
      </c>
      <c r="D43">
        <v>210</v>
      </c>
      <c r="E43" t="s">
        <v>125</v>
      </c>
      <c r="F43" t="s">
        <v>126</v>
      </c>
      <c r="G43" s="2">
        <v>30246</v>
      </c>
      <c r="H43" t="s">
        <v>130</v>
      </c>
      <c r="J43">
        <v>6</v>
      </c>
      <c r="K43">
        <v>0</v>
      </c>
      <c r="L43">
        <v>72</v>
      </c>
    </row>
    <row r="44" spans="1:12" x14ac:dyDescent="0.25">
      <c r="A44">
        <v>55</v>
      </c>
      <c r="B44" t="s">
        <v>28</v>
      </c>
      <c r="C44">
        <v>41404</v>
      </c>
      <c r="D44">
        <v>205</v>
      </c>
      <c r="E44" t="s">
        <v>125</v>
      </c>
      <c r="F44" t="s">
        <v>125</v>
      </c>
      <c r="G44" s="2">
        <v>30362</v>
      </c>
      <c r="H44" t="s">
        <v>129</v>
      </c>
      <c r="J44">
        <v>5</v>
      </c>
      <c r="K44">
        <v>10</v>
      </c>
      <c r="L44">
        <v>70</v>
      </c>
    </row>
    <row r="45" spans="1:12" x14ac:dyDescent="0.25">
      <c r="A45">
        <v>43</v>
      </c>
      <c r="B45" t="s">
        <v>61</v>
      </c>
      <c r="C45">
        <v>41405</v>
      </c>
      <c r="D45">
        <v>200</v>
      </c>
      <c r="E45" t="s">
        <v>125</v>
      </c>
      <c r="F45" t="s">
        <v>125</v>
      </c>
      <c r="G45" s="2">
        <v>29003</v>
      </c>
      <c r="H45" t="s">
        <v>128</v>
      </c>
      <c r="J45">
        <v>5</v>
      </c>
      <c r="K45">
        <v>11</v>
      </c>
      <c r="L45">
        <v>71</v>
      </c>
    </row>
    <row r="46" spans="1:12" x14ac:dyDescent="0.25">
      <c r="A46">
        <v>43</v>
      </c>
      <c r="B46" t="s">
        <v>44</v>
      </c>
      <c r="C46">
        <v>41405</v>
      </c>
      <c r="D46">
        <v>210</v>
      </c>
      <c r="E46" t="s">
        <v>125</v>
      </c>
      <c r="F46" t="s">
        <v>125</v>
      </c>
      <c r="G46" s="2">
        <v>30419</v>
      </c>
      <c r="H46" t="s">
        <v>130</v>
      </c>
      <c r="J46">
        <v>5</v>
      </c>
      <c r="K46">
        <v>11</v>
      </c>
      <c r="L46">
        <v>71</v>
      </c>
    </row>
  </sheetData>
  <autoFilter ref="A1:L46">
    <sortState ref="A2:L46">
      <sortCondition ref="B1:B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2012 Team Player Stats</vt:lpstr>
      <vt:lpstr>Additional Player Info</vt:lpstr>
      <vt:lpstr>HR YOY</vt:lpstr>
      <vt:lpstr>AL Team Homeruns</vt:lpstr>
      <vt:lpstr>Players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2013-08-17T23:59:47Z</dcterms:created>
  <dcterms:modified xsi:type="dcterms:W3CDTF">2014-04-11T02:42:51Z</dcterms:modified>
</cp:coreProperties>
</file>